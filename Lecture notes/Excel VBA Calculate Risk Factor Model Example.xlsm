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5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\OneDrive - Kissell Research\Rob Documents\CUNY Baruch\2017_Fall\"/>
    </mc:Choice>
  </mc:AlternateContent>
  <xr:revisionPtr revIDLastSave="258" documentId="9D56AA70BDF3914B193615814C174DB942943AC4" xr6:coauthVersionLast="23" xr6:coauthVersionMax="23" xr10:uidLastSave="{09FB4E51-5027-4637-83C9-C638D4996E4D}"/>
  <bookViews>
    <workbookView xWindow="0" yWindow="0" windowWidth="19200" windowHeight="7840" tabRatio="795" firstSheet="1" activeTab="2" xr2:uid="{00000000-000D-0000-FFFF-FFFF00000000}"/>
  </bookViews>
  <sheets>
    <sheet name="__FDSCACHE__" sheetId="18" state="veryHidden" r:id="rId1"/>
    <sheet name="Risk Model Regression" sheetId="1" r:id="rId2"/>
    <sheet name="Risk Model Example" sheetId="7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2" i="1" l="1"/>
  <c r="AA23" i="1" l="1"/>
  <c r="Z22" i="1" l="1"/>
  <c r="AA24" i="1"/>
  <c r="Z23" i="1"/>
  <c r="Y22" i="1"/>
  <c r="G32" i="7" l="1"/>
  <c r="F31" i="7"/>
  <c r="E30" i="7"/>
  <c r="D29" i="7"/>
  <c r="C28" i="7"/>
  <c r="G6" i="7"/>
  <c r="G5" i="7"/>
  <c r="G4" i="7"/>
  <c r="F6" i="7"/>
  <c r="F5" i="7"/>
  <c r="F4" i="7"/>
  <c r="E6" i="7"/>
  <c r="E5" i="7"/>
  <c r="E4" i="7"/>
  <c r="D6" i="7"/>
  <c r="D5" i="7"/>
  <c r="D4" i="7"/>
  <c r="C6" i="7"/>
  <c r="C5" i="7"/>
  <c r="C4" i="7"/>
  <c r="E18" i="7"/>
  <c r="E17" i="7"/>
  <c r="D17" i="7"/>
  <c r="E16" i="7"/>
  <c r="D16" i="7"/>
  <c r="C16" i="7"/>
  <c r="Z24" i="1"/>
  <c r="D18" i="7" s="1"/>
  <c r="Y24" i="1"/>
  <c r="C18" i="7" s="1"/>
  <c r="Y23" i="1"/>
  <c r="C17" i="7" s="1"/>
  <c r="N283" i="1"/>
  <c r="N235" i="1"/>
  <c r="P107" i="1"/>
  <c r="N97" i="1"/>
  <c r="N85" i="1"/>
  <c r="P43" i="1"/>
  <c r="N33" i="1"/>
  <c r="N21" i="1"/>
  <c r="M10" i="1"/>
  <c r="L10" i="1"/>
  <c r="P357" i="1" s="1"/>
  <c r="K10" i="1"/>
  <c r="O352" i="1" s="1"/>
  <c r="J10" i="1"/>
  <c r="N315" i="1" s="1"/>
  <c r="O176" i="1" l="1"/>
  <c r="O22" i="1"/>
  <c r="N37" i="1"/>
  <c r="N49" i="1"/>
  <c r="P59" i="1"/>
  <c r="O74" i="1"/>
  <c r="O86" i="1"/>
  <c r="N101" i="1"/>
  <c r="N113" i="1"/>
  <c r="P133" i="1"/>
  <c r="O192" i="1"/>
  <c r="O240" i="1"/>
  <c r="N299" i="1"/>
  <c r="O58" i="1"/>
  <c r="O26" i="1"/>
  <c r="O38" i="1"/>
  <c r="N53" i="1"/>
  <c r="N65" i="1"/>
  <c r="P75" i="1"/>
  <c r="O90" i="1"/>
  <c r="O102" i="1"/>
  <c r="N117" i="1"/>
  <c r="N155" i="1"/>
  <c r="P197" i="1"/>
  <c r="O256" i="1"/>
  <c r="O304" i="1"/>
  <c r="O70" i="1"/>
  <c r="O128" i="1"/>
  <c r="N17" i="1"/>
  <c r="P27" i="1"/>
  <c r="O42" i="1"/>
  <c r="O54" i="1"/>
  <c r="N69" i="1"/>
  <c r="N81" i="1"/>
  <c r="P91" i="1"/>
  <c r="O106" i="1"/>
  <c r="O118" i="1"/>
  <c r="N171" i="1"/>
  <c r="N219" i="1"/>
  <c r="P261" i="1"/>
  <c r="N347" i="1"/>
  <c r="N13" i="1"/>
  <c r="O18" i="1"/>
  <c r="P23" i="1"/>
  <c r="N29" i="1"/>
  <c r="O34" i="1"/>
  <c r="P39" i="1"/>
  <c r="N45" i="1"/>
  <c r="O50" i="1"/>
  <c r="P55" i="1"/>
  <c r="N61" i="1"/>
  <c r="O66" i="1"/>
  <c r="P71" i="1"/>
  <c r="N77" i="1"/>
  <c r="O82" i="1"/>
  <c r="P87" i="1"/>
  <c r="N93" i="1"/>
  <c r="O98" i="1"/>
  <c r="P103" i="1"/>
  <c r="N109" i="1"/>
  <c r="O114" i="1"/>
  <c r="P119" i="1"/>
  <c r="N139" i="1"/>
  <c r="O160" i="1"/>
  <c r="P181" i="1"/>
  <c r="N203" i="1"/>
  <c r="O224" i="1"/>
  <c r="P245" i="1"/>
  <c r="N267" i="1"/>
  <c r="O288" i="1"/>
  <c r="P309" i="1"/>
  <c r="O368" i="1"/>
  <c r="O14" i="1"/>
  <c r="P19" i="1"/>
  <c r="N25" i="1"/>
  <c r="O30" i="1"/>
  <c r="P35" i="1"/>
  <c r="N41" i="1"/>
  <c r="O46" i="1"/>
  <c r="P51" i="1"/>
  <c r="N57" i="1"/>
  <c r="O62" i="1"/>
  <c r="P67" i="1"/>
  <c r="N73" i="1"/>
  <c r="O78" i="1"/>
  <c r="P83" i="1"/>
  <c r="N89" i="1"/>
  <c r="O94" i="1"/>
  <c r="P99" i="1"/>
  <c r="N105" i="1"/>
  <c r="O110" i="1"/>
  <c r="P115" i="1"/>
  <c r="N123" i="1"/>
  <c r="O144" i="1"/>
  <c r="P165" i="1"/>
  <c r="N187" i="1"/>
  <c r="O208" i="1"/>
  <c r="P229" i="1"/>
  <c r="N251" i="1"/>
  <c r="O272" i="1"/>
  <c r="P293" i="1"/>
  <c r="P389" i="1"/>
  <c r="P15" i="1"/>
  <c r="P31" i="1"/>
  <c r="P47" i="1"/>
  <c r="P63" i="1"/>
  <c r="P79" i="1"/>
  <c r="P95" i="1"/>
  <c r="P111" i="1"/>
  <c r="P149" i="1"/>
  <c r="P213" i="1"/>
  <c r="P277" i="1"/>
  <c r="P325" i="1"/>
  <c r="P429" i="1"/>
  <c r="N512" i="1"/>
  <c r="N508" i="1"/>
  <c r="N504" i="1"/>
  <c r="N500" i="1"/>
  <c r="N496" i="1"/>
  <c r="N492" i="1"/>
  <c r="N488" i="1"/>
  <c r="N484" i="1"/>
  <c r="N480" i="1"/>
  <c r="N476" i="1"/>
  <c r="N472" i="1"/>
  <c r="N468" i="1"/>
  <c r="N464" i="1"/>
  <c r="N460" i="1"/>
  <c r="N456" i="1"/>
  <c r="N452" i="1"/>
  <c r="N448" i="1"/>
  <c r="N444" i="1"/>
  <c r="N440" i="1"/>
  <c r="N436" i="1"/>
  <c r="N432" i="1"/>
  <c r="N428" i="1"/>
  <c r="N424" i="1"/>
  <c r="N420" i="1"/>
  <c r="N416" i="1"/>
  <c r="N412" i="1"/>
  <c r="N408" i="1"/>
  <c r="N404" i="1"/>
  <c r="N513" i="1"/>
  <c r="N509" i="1"/>
  <c r="N505" i="1"/>
  <c r="N501" i="1"/>
  <c r="N497" i="1"/>
  <c r="N493" i="1"/>
  <c r="N489" i="1"/>
  <c r="N485" i="1"/>
  <c r="N481" i="1"/>
  <c r="N477" i="1"/>
  <c r="N473" i="1"/>
  <c r="N469" i="1"/>
  <c r="N465" i="1"/>
  <c r="N461" i="1"/>
  <c r="N457" i="1"/>
  <c r="N453" i="1"/>
  <c r="N449" i="1"/>
  <c r="N445" i="1"/>
  <c r="N441" i="1"/>
  <c r="N437" i="1"/>
  <c r="N433" i="1"/>
  <c r="N429" i="1"/>
  <c r="N425" i="1"/>
  <c r="N421" i="1"/>
  <c r="N417" i="1"/>
  <c r="N413" i="1"/>
  <c r="N514" i="1"/>
  <c r="N510" i="1"/>
  <c r="N506" i="1"/>
  <c r="N502" i="1"/>
  <c r="N498" i="1"/>
  <c r="N494" i="1"/>
  <c r="N490" i="1"/>
  <c r="N486" i="1"/>
  <c r="N482" i="1"/>
  <c r="N478" i="1"/>
  <c r="N474" i="1"/>
  <c r="N470" i="1"/>
  <c r="N466" i="1"/>
  <c r="N462" i="1"/>
  <c r="N458" i="1"/>
  <c r="N454" i="1"/>
  <c r="N450" i="1"/>
  <c r="N446" i="1"/>
  <c r="N442" i="1"/>
  <c r="N438" i="1"/>
  <c r="N434" i="1"/>
  <c r="N430" i="1"/>
  <c r="N426" i="1"/>
  <c r="N422" i="1"/>
  <c r="N418" i="1"/>
  <c r="N414" i="1"/>
  <c r="N410" i="1"/>
  <c r="N406" i="1"/>
  <c r="N402" i="1"/>
  <c r="N503" i="1"/>
  <c r="N487" i="1"/>
  <c r="N471" i="1"/>
  <c r="N455" i="1"/>
  <c r="N439" i="1"/>
  <c r="N423" i="1"/>
  <c r="N409" i="1"/>
  <c r="N400" i="1"/>
  <c r="N396" i="1"/>
  <c r="N392" i="1"/>
  <c r="N388" i="1"/>
  <c r="N384" i="1"/>
  <c r="N380" i="1"/>
  <c r="N376" i="1"/>
  <c r="N372" i="1"/>
  <c r="N368" i="1"/>
  <c r="N364" i="1"/>
  <c r="N360" i="1"/>
  <c r="N356" i="1"/>
  <c r="N352" i="1"/>
  <c r="N348" i="1"/>
  <c r="N344" i="1"/>
  <c r="N340" i="1"/>
  <c r="N336" i="1"/>
  <c r="N332" i="1"/>
  <c r="N328" i="1"/>
  <c r="N324" i="1"/>
  <c r="N320" i="1"/>
  <c r="N507" i="1"/>
  <c r="N491" i="1"/>
  <c r="N475" i="1"/>
  <c r="N459" i="1"/>
  <c r="N443" i="1"/>
  <c r="N427" i="1"/>
  <c r="N411" i="1"/>
  <c r="N403" i="1"/>
  <c r="N401" i="1"/>
  <c r="N397" i="1"/>
  <c r="N393" i="1"/>
  <c r="N389" i="1"/>
  <c r="N385" i="1"/>
  <c r="N381" i="1"/>
  <c r="N377" i="1"/>
  <c r="N373" i="1"/>
  <c r="N369" i="1"/>
  <c r="N365" i="1"/>
  <c r="N361" i="1"/>
  <c r="N357" i="1"/>
  <c r="N353" i="1"/>
  <c r="N349" i="1"/>
  <c r="N345" i="1"/>
  <c r="N341" i="1"/>
  <c r="N337" i="1"/>
  <c r="N333" i="1"/>
  <c r="N329" i="1"/>
  <c r="N325" i="1"/>
  <c r="N321" i="1"/>
  <c r="N511" i="1"/>
  <c r="N495" i="1"/>
  <c r="N479" i="1"/>
  <c r="N463" i="1"/>
  <c r="N447" i="1"/>
  <c r="N431" i="1"/>
  <c r="N415" i="1"/>
  <c r="N405" i="1"/>
  <c r="N398" i="1"/>
  <c r="N394" i="1"/>
  <c r="N390" i="1"/>
  <c r="N386" i="1"/>
  <c r="N382" i="1"/>
  <c r="N378" i="1"/>
  <c r="N374" i="1"/>
  <c r="N370" i="1"/>
  <c r="N366" i="1"/>
  <c r="N362" i="1"/>
  <c r="N358" i="1"/>
  <c r="N354" i="1"/>
  <c r="N350" i="1"/>
  <c r="N346" i="1"/>
  <c r="N342" i="1"/>
  <c r="N338" i="1"/>
  <c r="N334" i="1"/>
  <c r="N330" i="1"/>
  <c r="N326" i="1"/>
  <c r="N322" i="1"/>
  <c r="N467" i="1"/>
  <c r="N407" i="1"/>
  <c r="N399" i="1"/>
  <c r="N383" i="1"/>
  <c r="N367" i="1"/>
  <c r="N351" i="1"/>
  <c r="N335" i="1"/>
  <c r="N319" i="1"/>
  <c r="N316" i="1"/>
  <c r="N312" i="1"/>
  <c r="N308" i="1"/>
  <c r="N304" i="1"/>
  <c r="N300" i="1"/>
  <c r="N296" i="1"/>
  <c r="N292" i="1"/>
  <c r="N288" i="1"/>
  <c r="N284" i="1"/>
  <c r="N280" i="1"/>
  <c r="N276" i="1"/>
  <c r="N272" i="1"/>
  <c r="N268" i="1"/>
  <c r="N264" i="1"/>
  <c r="N260" i="1"/>
  <c r="N256" i="1"/>
  <c r="N252" i="1"/>
  <c r="N248" i="1"/>
  <c r="N244" i="1"/>
  <c r="N240" i="1"/>
  <c r="N236" i="1"/>
  <c r="N232" i="1"/>
  <c r="N228" i="1"/>
  <c r="N224" i="1"/>
  <c r="N220" i="1"/>
  <c r="N216" i="1"/>
  <c r="N212" i="1"/>
  <c r="N208" i="1"/>
  <c r="N204" i="1"/>
  <c r="N200" i="1"/>
  <c r="N196" i="1"/>
  <c r="N192" i="1"/>
  <c r="N188" i="1"/>
  <c r="N184" i="1"/>
  <c r="N180" i="1"/>
  <c r="N176" i="1"/>
  <c r="N172" i="1"/>
  <c r="N168" i="1"/>
  <c r="N164" i="1"/>
  <c r="N160" i="1"/>
  <c r="N156" i="1"/>
  <c r="N152" i="1"/>
  <c r="N148" i="1"/>
  <c r="N144" i="1"/>
  <c r="N140" i="1"/>
  <c r="N136" i="1"/>
  <c r="N132" i="1"/>
  <c r="N128" i="1"/>
  <c r="N124" i="1"/>
  <c r="N483" i="1"/>
  <c r="N419" i="1"/>
  <c r="N387" i="1"/>
  <c r="N371" i="1"/>
  <c r="N355" i="1"/>
  <c r="N339" i="1"/>
  <c r="N323" i="1"/>
  <c r="N317" i="1"/>
  <c r="N313" i="1"/>
  <c r="N309" i="1"/>
  <c r="N305" i="1"/>
  <c r="N301" i="1"/>
  <c r="N297" i="1"/>
  <c r="N293" i="1"/>
  <c r="N289" i="1"/>
  <c r="N285" i="1"/>
  <c r="N281" i="1"/>
  <c r="N277" i="1"/>
  <c r="N273" i="1"/>
  <c r="N269" i="1"/>
  <c r="N265" i="1"/>
  <c r="N261" i="1"/>
  <c r="N257" i="1"/>
  <c r="N253" i="1"/>
  <c r="N249" i="1"/>
  <c r="N245" i="1"/>
  <c r="N241" i="1"/>
  <c r="N237" i="1"/>
  <c r="N233" i="1"/>
  <c r="N229" i="1"/>
  <c r="N225" i="1"/>
  <c r="N221" i="1"/>
  <c r="N217" i="1"/>
  <c r="N213" i="1"/>
  <c r="N209" i="1"/>
  <c r="N205" i="1"/>
  <c r="N201" i="1"/>
  <c r="N197" i="1"/>
  <c r="N193" i="1"/>
  <c r="N189" i="1"/>
  <c r="N185" i="1"/>
  <c r="N181" i="1"/>
  <c r="N177" i="1"/>
  <c r="N173" i="1"/>
  <c r="N169" i="1"/>
  <c r="N165" i="1"/>
  <c r="N161" i="1"/>
  <c r="N157" i="1"/>
  <c r="N153" i="1"/>
  <c r="N149" i="1"/>
  <c r="N145" i="1"/>
  <c r="N141" i="1"/>
  <c r="N137" i="1"/>
  <c r="N133" i="1"/>
  <c r="N129" i="1"/>
  <c r="N125" i="1"/>
  <c r="N121" i="1"/>
  <c r="N499" i="1"/>
  <c r="N435" i="1"/>
  <c r="N391" i="1"/>
  <c r="N375" i="1"/>
  <c r="N359" i="1"/>
  <c r="N343" i="1"/>
  <c r="N327" i="1"/>
  <c r="N318" i="1"/>
  <c r="N314" i="1"/>
  <c r="N310" i="1"/>
  <c r="N306" i="1"/>
  <c r="N302" i="1"/>
  <c r="N298" i="1"/>
  <c r="N294" i="1"/>
  <c r="N290" i="1"/>
  <c r="N286" i="1"/>
  <c r="N282" i="1"/>
  <c r="N278" i="1"/>
  <c r="N274" i="1"/>
  <c r="N270" i="1"/>
  <c r="N266" i="1"/>
  <c r="N262" i="1"/>
  <c r="N258" i="1"/>
  <c r="N254" i="1"/>
  <c r="N250" i="1"/>
  <c r="N246" i="1"/>
  <c r="N242" i="1"/>
  <c r="N238" i="1"/>
  <c r="N234" i="1"/>
  <c r="N230" i="1"/>
  <c r="N226" i="1"/>
  <c r="N222" i="1"/>
  <c r="N218" i="1"/>
  <c r="N214" i="1"/>
  <c r="N210" i="1"/>
  <c r="N206" i="1"/>
  <c r="N202" i="1"/>
  <c r="N198" i="1"/>
  <c r="N194" i="1"/>
  <c r="N190" i="1"/>
  <c r="N186" i="1"/>
  <c r="N182" i="1"/>
  <c r="N178" i="1"/>
  <c r="N174" i="1"/>
  <c r="N170" i="1"/>
  <c r="N166" i="1"/>
  <c r="N162" i="1"/>
  <c r="N158" i="1"/>
  <c r="N154" i="1"/>
  <c r="N150" i="1"/>
  <c r="N146" i="1"/>
  <c r="N142" i="1"/>
  <c r="N138" i="1"/>
  <c r="N134" i="1"/>
  <c r="N130" i="1"/>
  <c r="N126" i="1"/>
  <c r="N122" i="1"/>
  <c r="N12" i="1"/>
  <c r="O13" i="1"/>
  <c r="P14" i="1"/>
  <c r="N16" i="1"/>
  <c r="O17" i="1"/>
  <c r="P18" i="1"/>
  <c r="N20" i="1"/>
  <c r="O21" i="1"/>
  <c r="P22" i="1"/>
  <c r="N24" i="1"/>
  <c r="O25" i="1"/>
  <c r="P26" i="1"/>
  <c r="N28" i="1"/>
  <c r="O29" i="1"/>
  <c r="P30" i="1"/>
  <c r="N32" i="1"/>
  <c r="O33" i="1"/>
  <c r="P34" i="1"/>
  <c r="N36" i="1"/>
  <c r="O37" i="1"/>
  <c r="P38" i="1"/>
  <c r="N40" i="1"/>
  <c r="O41" i="1"/>
  <c r="P42" i="1"/>
  <c r="N44" i="1"/>
  <c r="O45" i="1"/>
  <c r="P46" i="1"/>
  <c r="N48" i="1"/>
  <c r="O49" i="1"/>
  <c r="P50" i="1"/>
  <c r="N52" i="1"/>
  <c r="O53" i="1"/>
  <c r="P54" i="1"/>
  <c r="N56" i="1"/>
  <c r="O57" i="1"/>
  <c r="P58" i="1"/>
  <c r="N60" i="1"/>
  <c r="O61" i="1"/>
  <c r="P62" i="1"/>
  <c r="N64" i="1"/>
  <c r="O65" i="1"/>
  <c r="P66" i="1"/>
  <c r="N68" i="1"/>
  <c r="O69" i="1"/>
  <c r="P70" i="1"/>
  <c r="N72" i="1"/>
  <c r="O73" i="1"/>
  <c r="P74" i="1"/>
  <c r="N76" i="1"/>
  <c r="O77" i="1"/>
  <c r="P78" i="1"/>
  <c r="N80" i="1"/>
  <c r="O81" i="1"/>
  <c r="P82" i="1"/>
  <c r="N84" i="1"/>
  <c r="O85" i="1"/>
  <c r="P86" i="1"/>
  <c r="N88" i="1"/>
  <c r="O89" i="1"/>
  <c r="P90" i="1"/>
  <c r="N92" i="1"/>
  <c r="O93" i="1"/>
  <c r="P94" i="1"/>
  <c r="N96" i="1"/>
  <c r="O97" i="1"/>
  <c r="P98" i="1"/>
  <c r="N100" i="1"/>
  <c r="O101" i="1"/>
  <c r="P102" i="1"/>
  <c r="N104" i="1"/>
  <c r="O105" i="1"/>
  <c r="P106" i="1"/>
  <c r="N108" i="1"/>
  <c r="O109" i="1"/>
  <c r="P110" i="1"/>
  <c r="N112" i="1"/>
  <c r="O113" i="1"/>
  <c r="P114" i="1"/>
  <c r="N116" i="1"/>
  <c r="O117" i="1"/>
  <c r="P118" i="1"/>
  <c r="N120" i="1"/>
  <c r="O124" i="1"/>
  <c r="P129" i="1"/>
  <c r="N135" i="1"/>
  <c r="O140" i="1"/>
  <c r="P145" i="1"/>
  <c r="N151" i="1"/>
  <c r="O156" i="1"/>
  <c r="P161" i="1"/>
  <c r="N167" i="1"/>
  <c r="O172" i="1"/>
  <c r="P177" i="1"/>
  <c r="N183" i="1"/>
  <c r="O188" i="1"/>
  <c r="P193" i="1"/>
  <c r="N199" i="1"/>
  <c r="O204" i="1"/>
  <c r="P209" i="1"/>
  <c r="N215" i="1"/>
  <c r="O220" i="1"/>
  <c r="P225" i="1"/>
  <c r="N231" i="1"/>
  <c r="O236" i="1"/>
  <c r="P241" i="1"/>
  <c r="N247" i="1"/>
  <c r="O252" i="1"/>
  <c r="P257" i="1"/>
  <c r="N263" i="1"/>
  <c r="O268" i="1"/>
  <c r="P273" i="1"/>
  <c r="N279" i="1"/>
  <c r="O284" i="1"/>
  <c r="P289" i="1"/>
  <c r="N295" i="1"/>
  <c r="O300" i="1"/>
  <c r="P305" i="1"/>
  <c r="N311" i="1"/>
  <c r="O316" i="1"/>
  <c r="N331" i="1"/>
  <c r="P373" i="1"/>
  <c r="N395" i="1"/>
  <c r="N451" i="1"/>
  <c r="O513" i="1"/>
  <c r="O509" i="1"/>
  <c r="O505" i="1"/>
  <c r="O501" i="1"/>
  <c r="O497" i="1"/>
  <c r="O493" i="1"/>
  <c r="O489" i="1"/>
  <c r="O485" i="1"/>
  <c r="O481" i="1"/>
  <c r="O477" i="1"/>
  <c r="O473" i="1"/>
  <c r="O469" i="1"/>
  <c r="O465" i="1"/>
  <c r="O461" i="1"/>
  <c r="O457" i="1"/>
  <c r="O453" i="1"/>
  <c r="O449" i="1"/>
  <c r="O445" i="1"/>
  <c r="O441" i="1"/>
  <c r="O437" i="1"/>
  <c r="O433" i="1"/>
  <c r="O429" i="1"/>
  <c r="O425" i="1"/>
  <c r="O421" i="1"/>
  <c r="O417" i="1"/>
  <c r="O413" i="1"/>
  <c r="O409" i="1"/>
  <c r="O405" i="1"/>
  <c r="O514" i="1"/>
  <c r="O510" i="1"/>
  <c r="O506" i="1"/>
  <c r="O502" i="1"/>
  <c r="O498" i="1"/>
  <c r="O494" i="1"/>
  <c r="O490" i="1"/>
  <c r="O486" i="1"/>
  <c r="O482" i="1"/>
  <c r="O478" i="1"/>
  <c r="O474" i="1"/>
  <c r="O470" i="1"/>
  <c r="O466" i="1"/>
  <c r="O462" i="1"/>
  <c r="O458" i="1"/>
  <c r="O454" i="1"/>
  <c r="O450" i="1"/>
  <c r="O446" i="1"/>
  <c r="O442" i="1"/>
  <c r="O438" i="1"/>
  <c r="O434" i="1"/>
  <c r="O430" i="1"/>
  <c r="O426" i="1"/>
  <c r="O422" i="1"/>
  <c r="O418" i="1"/>
  <c r="O414" i="1"/>
  <c r="O511" i="1"/>
  <c r="O507" i="1"/>
  <c r="O503" i="1"/>
  <c r="O499" i="1"/>
  <c r="O495" i="1"/>
  <c r="O491" i="1"/>
  <c r="O487" i="1"/>
  <c r="O483" i="1"/>
  <c r="O479" i="1"/>
  <c r="O475" i="1"/>
  <c r="O471" i="1"/>
  <c r="O467" i="1"/>
  <c r="O463" i="1"/>
  <c r="O459" i="1"/>
  <c r="O455" i="1"/>
  <c r="O451" i="1"/>
  <c r="O447" i="1"/>
  <c r="O443" i="1"/>
  <c r="O439" i="1"/>
  <c r="O435" i="1"/>
  <c r="O431" i="1"/>
  <c r="O427" i="1"/>
  <c r="O423" i="1"/>
  <c r="O419" i="1"/>
  <c r="O415" i="1"/>
  <c r="O411" i="1"/>
  <c r="O407" i="1"/>
  <c r="O403" i="1"/>
  <c r="O508" i="1"/>
  <c r="O492" i="1"/>
  <c r="O476" i="1"/>
  <c r="O460" i="1"/>
  <c r="O444" i="1"/>
  <c r="O428" i="1"/>
  <c r="O412" i="1"/>
  <c r="O406" i="1"/>
  <c r="O401" i="1"/>
  <c r="O397" i="1"/>
  <c r="O393" i="1"/>
  <c r="O389" i="1"/>
  <c r="O385" i="1"/>
  <c r="O381" i="1"/>
  <c r="O377" i="1"/>
  <c r="O373" i="1"/>
  <c r="O369" i="1"/>
  <c r="O365" i="1"/>
  <c r="O361" i="1"/>
  <c r="O357" i="1"/>
  <c r="O353" i="1"/>
  <c r="O349" i="1"/>
  <c r="O345" i="1"/>
  <c r="O341" i="1"/>
  <c r="O337" i="1"/>
  <c r="O333" i="1"/>
  <c r="O329" i="1"/>
  <c r="O325" i="1"/>
  <c r="O321" i="1"/>
  <c r="O512" i="1"/>
  <c r="O496" i="1"/>
  <c r="O480" i="1"/>
  <c r="O464" i="1"/>
  <c r="O448" i="1"/>
  <c r="O432" i="1"/>
  <c r="O416" i="1"/>
  <c r="O408" i="1"/>
  <c r="O398" i="1"/>
  <c r="O394" i="1"/>
  <c r="O390" i="1"/>
  <c r="O386" i="1"/>
  <c r="O382" i="1"/>
  <c r="O378" i="1"/>
  <c r="O374" i="1"/>
  <c r="O370" i="1"/>
  <c r="O366" i="1"/>
  <c r="O362" i="1"/>
  <c r="O358" i="1"/>
  <c r="O354" i="1"/>
  <c r="O350" i="1"/>
  <c r="O346" i="1"/>
  <c r="O342" i="1"/>
  <c r="O338" i="1"/>
  <c r="O334" i="1"/>
  <c r="O330" i="1"/>
  <c r="O326" i="1"/>
  <c r="O322" i="1"/>
  <c r="O500" i="1"/>
  <c r="O484" i="1"/>
  <c r="O468" i="1"/>
  <c r="O452" i="1"/>
  <c r="O436" i="1"/>
  <c r="O420" i="1"/>
  <c r="O410" i="1"/>
  <c r="O402" i="1"/>
  <c r="O399" i="1"/>
  <c r="O395" i="1"/>
  <c r="O391" i="1"/>
  <c r="O387" i="1"/>
  <c r="O383" i="1"/>
  <c r="O379" i="1"/>
  <c r="O375" i="1"/>
  <c r="O371" i="1"/>
  <c r="O367" i="1"/>
  <c r="O363" i="1"/>
  <c r="O359" i="1"/>
  <c r="O355" i="1"/>
  <c r="O351" i="1"/>
  <c r="O347" i="1"/>
  <c r="O343" i="1"/>
  <c r="O339" i="1"/>
  <c r="O335" i="1"/>
  <c r="O331" i="1"/>
  <c r="O327" i="1"/>
  <c r="O323" i="1"/>
  <c r="O319" i="1"/>
  <c r="O488" i="1"/>
  <c r="O424" i="1"/>
  <c r="O388" i="1"/>
  <c r="O372" i="1"/>
  <c r="O356" i="1"/>
  <c r="O340" i="1"/>
  <c r="O324" i="1"/>
  <c r="O317" i="1"/>
  <c r="O313" i="1"/>
  <c r="O309" i="1"/>
  <c r="O305" i="1"/>
  <c r="O301" i="1"/>
  <c r="O297" i="1"/>
  <c r="O293" i="1"/>
  <c r="O289" i="1"/>
  <c r="O285" i="1"/>
  <c r="O281" i="1"/>
  <c r="O277" i="1"/>
  <c r="O273" i="1"/>
  <c r="O269" i="1"/>
  <c r="O265" i="1"/>
  <c r="O261" i="1"/>
  <c r="O257" i="1"/>
  <c r="O253" i="1"/>
  <c r="O249" i="1"/>
  <c r="O245" i="1"/>
  <c r="O241" i="1"/>
  <c r="O237" i="1"/>
  <c r="O233" i="1"/>
  <c r="O229" i="1"/>
  <c r="O225" i="1"/>
  <c r="O221" i="1"/>
  <c r="O217" i="1"/>
  <c r="O213" i="1"/>
  <c r="O209" i="1"/>
  <c r="O205" i="1"/>
  <c r="O201" i="1"/>
  <c r="O197" i="1"/>
  <c r="O193" i="1"/>
  <c r="O189" i="1"/>
  <c r="O185" i="1"/>
  <c r="O181" i="1"/>
  <c r="O177" i="1"/>
  <c r="O173" i="1"/>
  <c r="O169" i="1"/>
  <c r="O165" i="1"/>
  <c r="O161" i="1"/>
  <c r="O157" i="1"/>
  <c r="O153" i="1"/>
  <c r="O149" i="1"/>
  <c r="O145" i="1"/>
  <c r="O141" i="1"/>
  <c r="O137" i="1"/>
  <c r="O133" i="1"/>
  <c r="O129" i="1"/>
  <c r="O125" i="1"/>
  <c r="O121" i="1"/>
  <c r="O504" i="1"/>
  <c r="O440" i="1"/>
  <c r="O404" i="1"/>
  <c r="O392" i="1"/>
  <c r="O376" i="1"/>
  <c r="O360" i="1"/>
  <c r="O344" i="1"/>
  <c r="O328" i="1"/>
  <c r="O318" i="1"/>
  <c r="O314" i="1"/>
  <c r="O310" i="1"/>
  <c r="O306" i="1"/>
  <c r="O302" i="1"/>
  <c r="O298" i="1"/>
  <c r="O294" i="1"/>
  <c r="O290" i="1"/>
  <c r="O286" i="1"/>
  <c r="O282" i="1"/>
  <c r="O278" i="1"/>
  <c r="O274" i="1"/>
  <c r="O270" i="1"/>
  <c r="O266" i="1"/>
  <c r="O262" i="1"/>
  <c r="O258" i="1"/>
  <c r="O254" i="1"/>
  <c r="O250" i="1"/>
  <c r="O246" i="1"/>
  <c r="O242" i="1"/>
  <c r="O238" i="1"/>
  <c r="O234" i="1"/>
  <c r="O230" i="1"/>
  <c r="O226" i="1"/>
  <c r="O222" i="1"/>
  <c r="O218" i="1"/>
  <c r="O214" i="1"/>
  <c r="O210" i="1"/>
  <c r="O206" i="1"/>
  <c r="O202" i="1"/>
  <c r="O198" i="1"/>
  <c r="O194" i="1"/>
  <c r="O190" i="1"/>
  <c r="O186" i="1"/>
  <c r="O182" i="1"/>
  <c r="O178" i="1"/>
  <c r="O174" i="1"/>
  <c r="O170" i="1"/>
  <c r="O166" i="1"/>
  <c r="O162" i="1"/>
  <c r="O158" i="1"/>
  <c r="O154" i="1"/>
  <c r="O150" i="1"/>
  <c r="O146" i="1"/>
  <c r="O142" i="1"/>
  <c r="O138" i="1"/>
  <c r="O134" i="1"/>
  <c r="O130" i="1"/>
  <c r="O126" i="1"/>
  <c r="O122" i="1"/>
  <c r="O456" i="1"/>
  <c r="O396" i="1"/>
  <c r="O380" i="1"/>
  <c r="O364" i="1"/>
  <c r="O348" i="1"/>
  <c r="O332" i="1"/>
  <c r="O315" i="1"/>
  <c r="O311" i="1"/>
  <c r="O307" i="1"/>
  <c r="O303" i="1"/>
  <c r="O299" i="1"/>
  <c r="O295" i="1"/>
  <c r="O291" i="1"/>
  <c r="O287" i="1"/>
  <c r="O283" i="1"/>
  <c r="O279" i="1"/>
  <c r="O275" i="1"/>
  <c r="O271" i="1"/>
  <c r="O267" i="1"/>
  <c r="O263" i="1"/>
  <c r="O259" i="1"/>
  <c r="O255" i="1"/>
  <c r="O251" i="1"/>
  <c r="O247" i="1"/>
  <c r="O243" i="1"/>
  <c r="O239" i="1"/>
  <c r="O235" i="1"/>
  <c r="O231" i="1"/>
  <c r="O227" i="1"/>
  <c r="O223" i="1"/>
  <c r="O219" i="1"/>
  <c r="O215" i="1"/>
  <c r="O211" i="1"/>
  <c r="O207" i="1"/>
  <c r="O203" i="1"/>
  <c r="O199" i="1"/>
  <c r="O195" i="1"/>
  <c r="O191" i="1"/>
  <c r="O187" i="1"/>
  <c r="O183" i="1"/>
  <c r="O179" i="1"/>
  <c r="O175" i="1"/>
  <c r="O171" i="1"/>
  <c r="O167" i="1"/>
  <c r="O163" i="1"/>
  <c r="O159" i="1"/>
  <c r="O155" i="1"/>
  <c r="O151" i="1"/>
  <c r="O147" i="1"/>
  <c r="O143" i="1"/>
  <c r="O139" i="1"/>
  <c r="O135" i="1"/>
  <c r="O131" i="1"/>
  <c r="O127" i="1"/>
  <c r="O123" i="1"/>
  <c r="O12" i="1"/>
  <c r="P13" i="1"/>
  <c r="N15" i="1"/>
  <c r="O16" i="1"/>
  <c r="P17" i="1"/>
  <c r="N19" i="1"/>
  <c r="O20" i="1"/>
  <c r="P21" i="1"/>
  <c r="N23" i="1"/>
  <c r="O24" i="1"/>
  <c r="P25" i="1"/>
  <c r="N27" i="1"/>
  <c r="O28" i="1"/>
  <c r="P29" i="1"/>
  <c r="N31" i="1"/>
  <c r="O32" i="1"/>
  <c r="P33" i="1"/>
  <c r="N35" i="1"/>
  <c r="O36" i="1"/>
  <c r="P37" i="1"/>
  <c r="N39" i="1"/>
  <c r="O40" i="1"/>
  <c r="P41" i="1"/>
  <c r="N43" i="1"/>
  <c r="O44" i="1"/>
  <c r="P45" i="1"/>
  <c r="N47" i="1"/>
  <c r="O48" i="1"/>
  <c r="P49" i="1"/>
  <c r="N51" i="1"/>
  <c r="O52" i="1"/>
  <c r="P53" i="1"/>
  <c r="N55" i="1"/>
  <c r="O56" i="1"/>
  <c r="P57" i="1"/>
  <c r="N59" i="1"/>
  <c r="O60" i="1"/>
  <c r="P61" i="1"/>
  <c r="N63" i="1"/>
  <c r="O64" i="1"/>
  <c r="P65" i="1"/>
  <c r="N67" i="1"/>
  <c r="O68" i="1"/>
  <c r="P69" i="1"/>
  <c r="N71" i="1"/>
  <c r="O72" i="1"/>
  <c r="P73" i="1"/>
  <c r="N75" i="1"/>
  <c r="O76" i="1"/>
  <c r="P77" i="1"/>
  <c r="N79" i="1"/>
  <c r="O80" i="1"/>
  <c r="P81" i="1"/>
  <c r="N83" i="1"/>
  <c r="O84" i="1"/>
  <c r="P85" i="1"/>
  <c r="N87" i="1"/>
  <c r="O88" i="1"/>
  <c r="P89" i="1"/>
  <c r="N91" i="1"/>
  <c r="O92" i="1"/>
  <c r="P93" i="1"/>
  <c r="N95" i="1"/>
  <c r="O96" i="1"/>
  <c r="P97" i="1"/>
  <c r="N99" i="1"/>
  <c r="O100" i="1"/>
  <c r="P101" i="1"/>
  <c r="N103" i="1"/>
  <c r="O104" i="1"/>
  <c r="P105" i="1"/>
  <c r="N107" i="1"/>
  <c r="O108" i="1"/>
  <c r="P109" i="1"/>
  <c r="N111" i="1"/>
  <c r="O112" i="1"/>
  <c r="P113" i="1"/>
  <c r="N115" i="1"/>
  <c r="O116" i="1"/>
  <c r="P117" i="1"/>
  <c r="N119" i="1"/>
  <c r="O120" i="1"/>
  <c r="P125" i="1"/>
  <c r="N131" i="1"/>
  <c r="O136" i="1"/>
  <c r="P141" i="1"/>
  <c r="N147" i="1"/>
  <c r="O152" i="1"/>
  <c r="P157" i="1"/>
  <c r="N163" i="1"/>
  <c r="O168" i="1"/>
  <c r="P173" i="1"/>
  <c r="N179" i="1"/>
  <c r="O184" i="1"/>
  <c r="P189" i="1"/>
  <c r="N195" i="1"/>
  <c r="O200" i="1"/>
  <c r="P205" i="1"/>
  <c r="N211" i="1"/>
  <c r="O216" i="1"/>
  <c r="P221" i="1"/>
  <c r="N227" i="1"/>
  <c r="O232" i="1"/>
  <c r="P237" i="1"/>
  <c r="N243" i="1"/>
  <c r="O248" i="1"/>
  <c r="P253" i="1"/>
  <c r="N259" i="1"/>
  <c r="O264" i="1"/>
  <c r="P269" i="1"/>
  <c r="N275" i="1"/>
  <c r="O280" i="1"/>
  <c r="P285" i="1"/>
  <c r="N291" i="1"/>
  <c r="O296" i="1"/>
  <c r="P301" i="1"/>
  <c r="N307" i="1"/>
  <c r="O312" i="1"/>
  <c r="P317" i="1"/>
  <c r="O336" i="1"/>
  <c r="N379" i="1"/>
  <c r="O400" i="1"/>
  <c r="O472" i="1"/>
  <c r="P514" i="1"/>
  <c r="P510" i="1"/>
  <c r="P506" i="1"/>
  <c r="P502" i="1"/>
  <c r="P498" i="1"/>
  <c r="P494" i="1"/>
  <c r="P490" i="1"/>
  <c r="P486" i="1"/>
  <c r="P482" i="1"/>
  <c r="P478" i="1"/>
  <c r="P474" i="1"/>
  <c r="P470" i="1"/>
  <c r="P466" i="1"/>
  <c r="P462" i="1"/>
  <c r="P458" i="1"/>
  <c r="P454" i="1"/>
  <c r="P450" i="1"/>
  <c r="P446" i="1"/>
  <c r="P442" i="1"/>
  <c r="P438" i="1"/>
  <c r="P434" i="1"/>
  <c r="P430" i="1"/>
  <c r="P426" i="1"/>
  <c r="P422" i="1"/>
  <c r="P418" i="1"/>
  <c r="P414" i="1"/>
  <c r="P410" i="1"/>
  <c r="P406" i="1"/>
  <c r="P402" i="1"/>
  <c r="P511" i="1"/>
  <c r="P507" i="1"/>
  <c r="P503" i="1"/>
  <c r="P499" i="1"/>
  <c r="P495" i="1"/>
  <c r="P491" i="1"/>
  <c r="P487" i="1"/>
  <c r="P483" i="1"/>
  <c r="P479" i="1"/>
  <c r="P475" i="1"/>
  <c r="P471" i="1"/>
  <c r="P467" i="1"/>
  <c r="P463" i="1"/>
  <c r="P459" i="1"/>
  <c r="P455" i="1"/>
  <c r="P451" i="1"/>
  <c r="P447" i="1"/>
  <c r="P443" i="1"/>
  <c r="P439" i="1"/>
  <c r="P435" i="1"/>
  <c r="P431" i="1"/>
  <c r="P427" i="1"/>
  <c r="P423" i="1"/>
  <c r="P419" i="1"/>
  <c r="P415" i="1"/>
  <c r="P411" i="1"/>
  <c r="P512" i="1"/>
  <c r="P508" i="1"/>
  <c r="P504" i="1"/>
  <c r="P500" i="1"/>
  <c r="P496" i="1"/>
  <c r="P492" i="1"/>
  <c r="P488" i="1"/>
  <c r="P484" i="1"/>
  <c r="P480" i="1"/>
  <c r="P476" i="1"/>
  <c r="P472" i="1"/>
  <c r="P468" i="1"/>
  <c r="P464" i="1"/>
  <c r="P460" i="1"/>
  <c r="P456" i="1"/>
  <c r="P452" i="1"/>
  <c r="P448" i="1"/>
  <c r="P444" i="1"/>
  <c r="P440" i="1"/>
  <c r="P436" i="1"/>
  <c r="P432" i="1"/>
  <c r="P428" i="1"/>
  <c r="P424" i="1"/>
  <c r="P420" i="1"/>
  <c r="P416" i="1"/>
  <c r="P412" i="1"/>
  <c r="P408" i="1"/>
  <c r="P404" i="1"/>
  <c r="P513" i="1"/>
  <c r="P497" i="1"/>
  <c r="P481" i="1"/>
  <c r="P465" i="1"/>
  <c r="P449" i="1"/>
  <c r="P433" i="1"/>
  <c r="P417" i="1"/>
  <c r="P403" i="1"/>
  <c r="P398" i="1"/>
  <c r="P394" i="1"/>
  <c r="P390" i="1"/>
  <c r="P386" i="1"/>
  <c r="P382" i="1"/>
  <c r="P378" i="1"/>
  <c r="P374" i="1"/>
  <c r="P370" i="1"/>
  <c r="P366" i="1"/>
  <c r="P362" i="1"/>
  <c r="P358" i="1"/>
  <c r="P354" i="1"/>
  <c r="P350" i="1"/>
  <c r="P346" i="1"/>
  <c r="P342" i="1"/>
  <c r="P338" i="1"/>
  <c r="P334" i="1"/>
  <c r="P330" i="1"/>
  <c r="P326" i="1"/>
  <c r="P322" i="1"/>
  <c r="P318" i="1"/>
  <c r="P501" i="1"/>
  <c r="P485" i="1"/>
  <c r="P469" i="1"/>
  <c r="P453" i="1"/>
  <c r="P437" i="1"/>
  <c r="P421" i="1"/>
  <c r="P405" i="1"/>
  <c r="P399" i="1"/>
  <c r="P395" i="1"/>
  <c r="P391" i="1"/>
  <c r="P387" i="1"/>
  <c r="P383" i="1"/>
  <c r="P379" i="1"/>
  <c r="P375" i="1"/>
  <c r="P371" i="1"/>
  <c r="P367" i="1"/>
  <c r="P363" i="1"/>
  <c r="P359" i="1"/>
  <c r="P355" i="1"/>
  <c r="P351" i="1"/>
  <c r="P347" i="1"/>
  <c r="P343" i="1"/>
  <c r="P339" i="1"/>
  <c r="P335" i="1"/>
  <c r="P331" i="1"/>
  <c r="P327" i="1"/>
  <c r="P323" i="1"/>
  <c r="P319" i="1"/>
  <c r="P505" i="1"/>
  <c r="P489" i="1"/>
  <c r="P473" i="1"/>
  <c r="P457" i="1"/>
  <c r="P441" i="1"/>
  <c r="P425" i="1"/>
  <c r="P407" i="1"/>
  <c r="P400" i="1"/>
  <c r="P396" i="1"/>
  <c r="P392" i="1"/>
  <c r="P388" i="1"/>
  <c r="P384" i="1"/>
  <c r="P380" i="1"/>
  <c r="P376" i="1"/>
  <c r="P372" i="1"/>
  <c r="P368" i="1"/>
  <c r="P364" i="1"/>
  <c r="P360" i="1"/>
  <c r="P356" i="1"/>
  <c r="P352" i="1"/>
  <c r="P348" i="1"/>
  <c r="P344" i="1"/>
  <c r="P340" i="1"/>
  <c r="P336" i="1"/>
  <c r="P332" i="1"/>
  <c r="P328" i="1"/>
  <c r="P324" i="1"/>
  <c r="P320" i="1"/>
  <c r="P509" i="1"/>
  <c r="P445" i="1"/>
  <c r="P393" i="1"/>
  <c r="P377" i="1"/>
  <c r="P361" i="1"/>
  <c r="P345" i="1"/>
  <c r="P329" i="1"/>
  <c r="P314" i="1"/>
  <c r="P310" i="1"/>
  <c r="P306" i="1"/>
  <c r="P302" i="1"/>
  <c r="P298" i="1"/>
  <c r="P294" i="1"/>
  <c r="P290" i="1"/>
  <c r="P286" i="1"/>
  <c r="P282" i="1"/>
  <c r="P278" i="1"/>
  <c r="P274" i="1"/>
  <c r="P270" i="1"/>
  <c r="P266" i="1"/>
  <c r="P262" i="1"/>
  <c r="P258" i="1"/>
  <c r="P254" i="1"/>
  <c r="P250" i="1"/>
  <c r="P246" i="1"/>
  <c r="P242" i="1"/>
  <c r="P238" i="1"/>
  <c r="P234" i="1"/>
  <c r="P230" i="1"/>
  <c r="P226" i="1"/>
  <c r="P222" i="1"/>
  <c r="P218" i="1"/>
  <c r="P214" i="1"/>
  <c r="P210" i="1"/>
  <c r="P206" i="1"/>
  <c r="P202" i="1"/>
  <c r="P198" i="1"/>
  <c r="P194" i="1"/>
  <c r="P190" i="1"/>
  <c r="P186" i="1"/>
  <c r="P182" i="1"/>
  <c r="P178" i="1"/>
  <c r="P174" i="1"/>
  <c r="P170" i="1"/>
  <c r="P166" i="1"/>
  <c r="P162" i="1"/>
  <c r="P158" i="1"/>
  <c r="P154" i="1"/>
  <c r="P150" i="1"/>
  <c r="P146" i="1"/>
  <c r="P142" i="1"/>
  <c r="P138" i="1"/>
  <c r="P134" i="1"/>
  <c r="P130" i="1"/>
  <c r="P126" i="1"/>
  <c r="P122" i="1"/>
  <c r="P461" i="1"/>
  <c r="P397" i="1"/>
  <c r="P381" i="1"/>
  <c r="P365" i="1"/>
  <c r="P349" i="1"/>
  <c r="P333" i="1"/>
  <c r="P315" i="1"/>
  <c r="P311" i="1"/>
  <c r="P307" i="1"/>
  <c r="P303" i="1"/>
  <c r="P299" i="1"/>
  <c r="P295" i="1"/>
  <c r="P291" i="1"/>
  <c r="P287" i="1"/>
  <c r="P283" i="1"/>
  <c r="P279" i="1"/>
  <c r="P275" i="1"/>
  <c r="P271" i="1"/>
  <c r="P267" i="1"/>
  <c r="P263" i="1"/>
  <c r="P259" i="1"/>
  <c r="P255" i="1"/>
  <c r="P251" i="1"/>
  <c r="P247" i="1"/>
  <c r="P243" i="1"/>
  <c r="P239" i="1"/>
  <c r="P235" i="1"/>
  <c r="P231" i="1"/>
  <c r="P227" i="1"/>
  <c r="P223" i="1"/>
  <c r="P219" i="1"/>
  <c r="P215" i="1"/>
  <c r="P211" i="1"/>
  <c r="P207" i="1"/>
  <c r="P203" i="1"/>
  <c r="P199" i="1"/>
  <c r="P195" i="1"/>
  <c r="P191" i="1"/>
  <c r="P187" i="1"/>
  <c r="P183" i="1"/>
  <c r="P179" i="1"/>
  <c r="P175" i="1"/>
  <c r="P171" i="1"/>
  <c r="P167" i="1"/>
  <c r="P163" i="1"/>
  <c r="P159" i="1"/>
  <c r="P155" i="1"/>
  <c r="P151" i="1"/>
  <c r="P147" i="1"/>
  <c r="P143" i="1"/>
  <c r="P139" i="1"/>
  <c r="P135" i="1"/>
  <c r="P131" i="1"/>
  <c r="P127" i="1"/>
  <c r="P123" i="1"/>
  <c r="P477" i="1"/>
  <c r="P413" i="1"/>
  <c r="P401" i="1"/>
  <c r="P385" i="1"/>
  <c r="P369" i="1"/>
  <c r="P353" i="1"/>
  <c r="P337" i="1"/>
  <c r="P321" i="1"/>
  <c r="P316" i="1"/>
  <c r="P312" i="1"/>
  <c r="P308" i="1"/>
  <c r="P304" i="1"/>
  <c r="P300" i="1"/>
  <c r="P296" i="1"/>
  <c r="P292" i="1"/>
  <c r="P288" i="1"/>
  <c r="P284" i="1"/>
  <c r="P280" i="1"/>
  <c r="P276" i="1"/>
  <c r="P272" i="1"/>
  <c r="P268" i="1"/>
  <c r="P264" i="1"/>
  <c r="P260" i="1"/>
  <c r="P256" i="1"/>
  <c r="P252" i="1"/>
  <c r="P248" i="1"/>
  <c r="P244" i="1"/>
  <c r="P240" i="1"/>
  <c r="P236" i="1"/>
  <c r="P232" i="1"/>
  <c r="P228" i="1"/>
  <c r="P224" i="1"/>
  <c r="P220" i="1"/>
  <c r="P216" i="1"/>
  <c r="P212" i="1"/>
  <c r="P208" i="1"/>
  <c r="P204" i="1"/>
  <c r="P200" i="1"/>
  <c r="P196" i="1"/>
  <c r="P192" i="1"/>
  <c r="P188" i="1"/>
  <c r="P184" i="1"/>
  <c r="P180" i="1"/>
  <c r="P176" i="1"/>
  <c r="P172" i="1"/>
  <c r="P168" i="1"/>
  <c r="P164" i="1"/>
  <c r="P160" i="1"/>
  <c r="P156" i="1"/>
  <c r="P152" i="1"/>
  <c r="P148" i="1"/>
  <c r="P144" i="1"/>
  <c r="P140" i="1"/>
  <c r="P136" i="1"/>
  <c r="P132" i="1"/>
  <c r="P128" i="1"/>
  <c r="P124" i="1"/>
  <c r="P120" i="1"/>
  <c r="P12" i="1"/>
  <c r="N14" i="1"/>
  <c r="O15" i="1"/>
  <c r="P16" i="1"/>
  <c r="N18" i="1"/>
  <c r="O19" i="1"/>
  <c r="P20" i="1"/>
  <c r="N22" i="1"/>
  <c r="O23" i="1"/>
  <c r="P24" i="1"/>
  <c r="N26" i="1"/>
  <c r="O27" i="1"/>
  <c r="P28" i="1"/>
  <c r="N30" i="1"/>
  <c r="O31" i="1"/>
  <c r="P32" i="1"/>
  <c r="N34" i="1"/>
  <c r="O35" i="1"/>
  <c r="P36" i="1"/>
  <c r="N38" i="1"/>
  <c r="O39" i="1"/>
  <c r="P40" i="1"/>
  <c r="N42" i="1"/>
  <c r="O43" i="1"/>
  <c r="P44" i="1"/>
  <c r="N46" i="1"/>
  <c r="O47" i="1"/>
  <c r="P48" i="1"/>
  <c r="N50" i="1"/>
  <c r="O51" i="1"/>
  <c r="P52" i="1"/>
  <c r="N54" i="1"/>
  <c r="O55" i="1"/>
  <c r="P56" i="1"/>
  <c r="N58" i="1"/>
  <c r="O59" i="1"/>
  <c r="P60" i="1"/>
  <c r="N62" i="1"/>
  <c r="O63" i="1"/>
  <c r="P64" i="1"/>
  <c r="N66" i="1"/>
  <c r="O67" i="1"/>
  <c r="P68" i="1"/>
  <c r="N70" i="1"/>
  <c r="O71" i="1"/>
  <c r="P72" i="1"/>
  <c r="N74" i="1"/>
  <c r="O75" i="1"/>
  <c r="P76" i="1"/>
  <c r="N78" i="1"/>
  <c r="O79" i="1"/>
  <c r="P80" i="1"/>
  <c r="N82" i="1"/>
  <c r="O83" i="1"/>
  <c r="P84" i="1"/>
  <c r="N86" i="1"/>
  <c r="O87" i="1"/>
  <c r="P88" i="1"/>
  <c r="N90" i="1"/>
  <c r="O91" i="1"/>
  <c r="P92" i="1"/>
  <c r="N94" i="1"/>
  <c r="O95" i="1"/>
  <c r="P96" i="1"/>
  <c r="N98" i="1"/>
  <c r="O99" i="1"/>
  <c r="P100" i="1"/>
  <c r="N102" i="1"/>
  <c r="O103" i="1"/>
  <c r="P104" i="1"/>
  <c r="N106" i="1"/>
  <c r="O107" i="1"/>
  <c r="P108" i="1"/>
  <c r="N110" i="1"/>
  <c r="O111" i="1"/>
  <c r="P112" i="1"/>
  <c r="N114" i="1"/>
  <c r="O115" i="1"/>
  <c r="P116" i="1"/>
  <c r="N118" i="1"/>
  <c r="O119" i="1"/>
  <c r="P121" i="1"/>
  <c r="N127" i="1"/>
  <c r="O132" i="1"/>
  <c r="P137" i="1"/>
  <c r="N143" i="1"/>
  <c r="O148" i="1"/>
  <c r="P153" i="1"/>
  <c r="N159" i="1"/>
  <c r="O164" i="1"/>
  <c r="P169" i="1"/>
  <c r="N175" i="1"/>
  <c r="O180" i="1"/>
  <c r="P185" i="1"/>
  <c r="N191" i="1"/>
  <c r="O196" i="1"/>
  <c r="P201" i="1"/>
  <c r="N207" i="1"/>
  <c r="O212" i="1"/>
  <c r="P217" i="1"/>
  <c r="N223" i="1"/>
  <c r="O228" i="1"/>
  <c r="P233" i="1"/>
  <c r="N239" i="1"/>
  <c r="O244" i="1"/>
  <c r="P249" i="1"/>
  <c r="N255" i="1"/>
  <c r="O260" i="1"/>
  <c r="P265" i="1"/>
  <c r="N271" i="1"/>
  <c r="O276" i="1"/>
  <c r="P281" i="1"/>
  <c r="N287" i="1"/>
  <c r="O292" i="1"/>
  <c r="P297" i="1"/>
  <c r="N303" i="1"/>
  <c r="O308" i="1"/>
  <c r="P313" i="1"/>
  <c r="O320" i="1"/>
  <c r="P341" i="1"/>
  <c r="N363" i="1"/>
  <c r="O384" i="1"/>
  <c r="P409" i="1"/>
  <c r="P493" i="1"/>
  <c r="N10" i="1" l="1"/>
  <c r="P10" i="1"/>
  <c r="O10" i="1"/>
  <c r="C10" i="7" l="1" a="1"/>
  <c r="C10" i="7" s="1"/>
  <c r="S4" i="1"/>
  <c r="E13" i="7" l="1"/>
  <c r="D12" i="7"/>
  <c r="C11" i="7"/>
  <c r="E14" i="7"/>
  <c r="D13" i="7"/>
  <c r="C12" i="7"/>
  <c r="E10" i="7"/>
  <c r="D14" i="7"/>
  <c r="C13" i="7"/>
  <c r="E11" i="7"/>
  <c r="D10" i="7"/>
  <c r="C14" i="7"/>
  <c r="E12" i="7"/>
  <c r="D11" i="7"/>
  <c r="C515" i="1" l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D515" i="1" l="1"/>
  <c r="D511" i="1"/>
  <c r="D507" i="1"/>
  <c r="D503" i="1"/>
  <c r="D499" i="1"/>
  <c r="D495" i="1"/>
  <c r="D491" i="1"/>
  <c r="D487" i="1"/>
  <c r="D483" i="1"/>
  <c r="D479" i="1"/>
  <c r="D475" i="1"/>
  <c r="D471" i="1"/>
  <c r="D467" i="1"/>
  <c r="D463" i="1"/>
  <c r="D459" i="1"/>
  <c r="D455" i="1"/>
  <c r="D451" i="1"/>
  <c r="D447" i="1"/>
  <c r="D443" i="1"/>
  <c r="D439" i="1"/>
  <c r="D435" i="1"/>
  <c r="D431" i="1"/>
  <c r="D427" i="1"/>
  <c r="D423" i="1"/>
  <c r="D419" i="1"/>
  <c r="D415" i="1"/>
  <c r="D411" i="1"/>
  <c r="D407" i="1"/>
  <c r="D403" i="1"/>
  <c r="D399" i="1"/>
  <c r="D395" i="1"/>
  <c r="D391" i="1"/>
  <c r="D387" i="1"/>
  <c r="D383" i="1"/>
  <c r="D379" i="1"/>
  <c r="D375" i="1"/>
  <c r="D371" i="1"/>
  <c r="D367" i="1"/>
  <c r="D363" i="1"/>
  <c r="D359" i="1"/>
  <c r="D355" i="1"/>
  <c r="D351" i="1"/>
  <c r="D347" i="1"/>
  <c r="D343" i="1"/>
  <c r="D339" i="1"/>
  <c r="D335" i="1"/>
  <c r="D331" i="1"/>
  <c r="D327" i="1"/>
  <c r="D323" i="1"/>
  <c r="D319" i="1"/>
  <c r="D315" i="1"/>
  <c r="D311" i="1"/>
  <c r="D307" i="1"/>
  <c r="D303" i="1"/>
  <c r="D299" i="1"/>
  <c r="D295" i="1"/>
  <c r="D291" i="1"/>
  <c r="D287" i="1"/>
  <c r="D283" i="1"/>
  <c r="D279" i="1"/>
  <c r="D275" i="1"/>
  <c r="D271" i="1"/>
  <c r="D267" i="1"/>
  <c r="D263" i="1"/>
  <c r="D259" i="1"/>
  <c r="D255" i="1"/>
  <c r="D251" i="1"/>
  <c r="D247" i="1"/>
  <c r="D243" i="1"/>
  <c r="D239" i="1"/>
  <c r="D235" i="1"/>
  <c r="D231" i="1"/>
  <c r="D227" i="1"/>
  <c r="D223" i="1"/>
  <c r="D219" i="1"/>
  <c r="D215" i="1"/>
  <c r="D211" i="1"/>
  <c r="D207" i="1"/>
  <c r="D203" i="1"/>
  <c r="D199" i="1"/>
  <c r="D195" i="1"/>
  <c r="D191" i="1"/>
  <c r="D514" i="1"/>
  <c r="D510" i="1"/>
  <c r="D506" i="1"/>
  <c r="D502" i="1"/>
  <c r="D498" i="1"/>
  <c r="D494" i="1"/>
  <c r="D490" i="1"/>
  <c r="D486" i="1"/>
  <c r="D482" i="1"/>
  <c r="D478" i="1"/>
  <c r="D474" i="1"/>
  <c r="D470" i="1"/>
  <c r="D466" i="1"/>
  <c r="D462" i="1"/>
  <c r="D458" i="1"/>
  <c r="D454" i="1"/>
  <c r="D450" i="1"/>
  <c r="D446" i="1"/>
  <c r="D442" i="1"/>
  <c r="D438" i="1"/>
  <c r="D434" i="1"/>
  <c r="D430" i="1"/>
  <c r="D426" i="1"/>
  <c r="D422" i="1"/>
  <c r="D418" i="1"/>
  <c r="D414" i="1"/>
  <c r="D410" i="1"/>
  <c r="D406" i="1"/>
  <c r="D402" i="1"/>
  <c r="D398" i="1"/>
  <c r="D394" i="1"/>
  <c r="D390" i="1"/>
  <c r="D386" i="1"/>
  <c r="D382" i="1"/>
  <c r="D378" i="1"/>
  <c r="D374" i="1"/>
  <c r="D370" i="1"/>
  <c r="D366" i="1"/>
  <c r="D362" i="1"/>
  <c r="D358" i="1"/>
  <c r="D354" i="1"/>
  <c r="D350" i="1"/>
  <c r="D346" i="1"/>
  <c r="D342" i="1"/>
  <c r="D338" i="1"/>
  <c r="D334" i="1"/>
  <c r="D330" i="1"/>
  <c r="D326" i="1"/>
  <c r="D322" i="1"/>
  <c r="D318" i="1"/>
  <c r="D314" i="1"/>
  <c r="D310" i="1"/>
  <c r="D306" i="1"/>
  <c r="D302" i="1"/>
  <c r="D298" i="1"/>
  <c r="D294" i="1"/>
  <c r="D290" i="1"/>
  <c r="D286" i="1"/>
  <c r="D282" i="1"/>
  <c r="D278" i="1"/>
  <c r="D274" i="1"/>
  <c r="D270" i="1"/>
  <c r="D266" i="1"/>
  <c r="D262" i="1"/>
  <c r="D258" i="1"/>
  <c r="D254" i="1"/>
  <c r="D250" i="1"/>
  <c r="D246" i="1"/>
  <c r="D242" i="1"/>
  <c r="D238" i="1"/>
  <c r="D234" i="1"/>
  <c r="D230" i="1"/>
  <c r="D226" i="1"/>
  <c r="D222" i="1"/>
  <c r="D218" i="1"/>
  <c r="D214" i="1"/>
  <c r="D210" i="1"/>
  <c r="D206" i="1"/>
  <c r="D202" i="1"/>
  <c r="D198" i="1"/>
  <c r="D194" i="1"/>
  <c r="D190" i="1"/>
  <c r="D186" i="1"/>
  <c r="D182" i="1"/>
  <c r="D178" i="1"/>
  <c r="D513" i="1"/>
  <c r="D509" i="1"/>
  <c r="D505" i="1"/>
  <c r="D501" i="1"/>
  <c r="D497" i="1"/>
  <c r="D493" i="1"/>
  <c r="D489" i="1"/>
  <c r="D485" i="1"/>
  <c r="E485" i="1" s="1"/>
  <c r="F485" i="1" s="1"/>
  <c r="D481" i="1"/>
  <c r="D477" i="1"/>
  <c r="D473" i="1"/>
  <c r="D469" i="1"/>
  <c r="D465" i="1"/>
  <c r="D461" i="1"/>
  <c r="D457" i="1"/>
  <c r="D453" i="1"/>
  <c r="E453" i="1" s="1"/>
  <c r="F453" i="1" s="1"/>
  <c r="D449" i="1"/>
  <c r="D445" i="1"/>
  <c r="D441" i="1"/>
  <c r="D437" i="1"/>
  <c r="D433" i="1"/>
  <c r="D429" i="1"/>
  <c r="D425" i="1"/>
  <c r="D421" i="1"/>
  <c r="D417" i="1"/>
  <c r="D413" i="1"/>
  <c r="D409" i="1"/>
  <c r="D405" i="1"/>
  <c r="D401" i="1"/>
  <c r="D397" i="1"/>
  <c r="D393" i="1"/>
  <c r="D389" i="1"/>
  <c r="D385" i="1"/>
  <c r="D381" i="1"/>
  <c r="D377" i="1"/>
  <c r="D373" i="1"/>
  <c r="E373" i="1" s="1"/>
  <c r="F373" i="1" s="1"/>
  <c r="D369" i="1"/>
  <c r="D365" i="1"/>
  <c r="D361" i="1"/>
  <c r="D357" i="1"/>
  <c r="D353" i="1"/>
  <c r="D349" i="1"/>
  <c r="D345" i="1"/>
  <c r="D341" i="1"/>
  <c r="D337" i="1"/>
  <c r="D333" i="1"/>
  <c r="D329" i="1"/>
  <c r="D325" i="1"/>
  <c r="D321" i="1"/>
  <c r="D317" i="1"/>
  <c r="D313" i="1"/>
  <c r="D309" i="1"/>
  <c r="E309" i="1" s="1"/>
  <c r="F309" i="1" s="1"/>
  <c r="D305" i="1"/>
  <c r="D301" i="1"/>
  <c r="D297" i="1"/>
  <c r="D293" i="1"/>
  <c r="D289" i="1"/>
  <c r="D285" i="1"/>
  <c r="D281" i="1"/>
  <c r="D277" i="1"/>
  <c r="D273" i="1"/>
  <c r="D269" i="1"/>
  <c r="D265" i="1"/>
  <c r="D261" i="1"/>
  <c r="D257" i="1"/>
  <c r="D253" i="1"/>
  <c r="D249" i="1"/>
  <c r="D245" i="1"/>
  <c r="E245" i="1" s="1"/>
  <c r="F245" i="1" s="1"/>
  <c r="D241" i="1"/>
  <c r="D237" i="1"/>
  <c r="D233" i="1"/>
  <c r="D229" i="1"/>
  <c r="D225" i="1"/>
  <c r="D221" i="1"/>
  <c r="D217" i="1"/>
  <c r="D213" i="1"/>
  <c r="D209" i="1"/>
  <c r="D205" i="1"/>
  <c r="D201" i="1"/>
  <c r="D197" i="1"/>
  <c r="D193" i="1"/>
  <c r="D189" i="1"/>
  <c r="D512" i="1"/>
  <c r="D496" i="1"/>
  <c r="D480" i="1"/>
  <c r="D464" i="1"/>
  <c r="D448" i="1"/>
  <c r="D432" i="1"/>
  <c r="D416" i="1"/>
  <c r="D400" i="1"/>
  <c r="D384" i="1"/>
  <c r="D368" i="1"/>
  <c r="D352" i="1"/>
  <c r="D336" i="1"/>
  <c r="D320" i="1"/>
  <c r="D304" i="1"/>
  <c r="D288" i="1"/>
  <c r="D272" i="1"/>
  <c r="D256" i="1"/>
  <c r="D240" i="1"/>
  <c r="D224" i="1"/>
  <c r="D208" i="1"/>
  <c r="D192" i="1"/>
  <c r="D184" i="1"/>
  <c r="D179" i="1"/>
  <c r="D174" i="1"/>
  <c r="D170" i="1"/>
  <c r="D166" i="1"/>
  <c r="D162" i="1"/>
  <c r="D158" i="1"/>
  <c r="D154" i="1"/>
  <c r="D150" i="1"/>
  <c r="D146" i="1"/>
  <c r="D142" i="1"/>
  <c r="D138" i="1"/>
  <c r="D134" i="1"/>
  <c r="D130" i="1"/>
  <c r="D126" i="1"/>
  <c r="D122" i="1"/>
  <c r="D118" i="1"/>
  <c r="D114" i="1"/>
  <c r="D110" i="1"/>
  <c r="D106" i="1"/>
  <c r="D102" i="1"/>
  <c r="D98" i="1"/>
  <c r="D94" i="1"/>
  <c r="D90" i="1"/>
  <c r="D86" i="1"/>
  <c r="D82" i="1"/>
  <c r="D78" i="1"/>
  <c r="D74" i="1"/>
  <c r="D70" i="1"/>
  <c r="D66" i="1"/>
  <c r="D62" i="1"/>
  <c r="D58" i="1"/>
  <c r="D54" i="1"/>
  <c r="D50" i="1"/>
  <c r="D46" i="1"/>
  <c r="D42" i="1"/>
  <c r="D38" i="1"/>
  <c r="D34" i="1"/>
  <c r="D30" i="1"/>
  <c r="D26" i="1"/>
  <c r="D22" i="1"/>
  <c r="D18" i="1"/>
  <c r="D14" i="1"/>
  <c r="D488" i="1"/>
  <c r="D472" i="1"/>
  <c r="D456" i="1"/>
  <c r="D424" i="1"/>
  <c r="E424" i="1" s="1"/>
  <c r="F424" i="1" s="1"/>
  <c r="D392" i="1"/>
  <c r="D344" i="1"/>
  <c r="E344" i="1" s="1"/>
  <c r="F344" i="1" s="1"/>
  <c r="D312" i="1"/>
  <c r="D280" i="1"/>
  <c r="D248" i="1"/>
  <c r="D216" i="1"/>
  <c r="D187" i="1"/>
  <c r="D176" i="1"/>
  <c r="D168" i="1"/>
  <c r="D160" i="1"/>
  <c r="D152" i="1"/>
  <c r="D144" i="1"/>
  <c r="D136" i="1"/>
  <c r="D128" i="1"/>
  <c r="D120" i="1"/>
  <c r="D112" i="1"/>
  <c r="D104" i="1"/>
  <c r="D508" i="1"/>
  <c r="D492" i="1"/>
  <c r="D476" i="1"/>
  <c r="D460" i="1"/>
  <c r="D444" i="1"/>
  <c r="D428" i="1"/>
  <c r="D412" i="1"/>
  <c r="D396" i="1"/>
  <c r="D380" i="1"/>
  <c r="D364" i="1"/>
  <c r="D348" i="1"/>
  <c r="D332" i="1"/>
  <c r="D316" i="1"/>
  <c r="D300" i="1"/>
  <c r="D284" i="1"/>
  <c r="D268" i="1"/>
  <c r="D252" i="1"/>
  <c r="D236" i="1"/>
  <c r="D220" i="1"/>
  <c r="D204" i="1"/>
  <c r="D188" i="1"/>
  <c r="D183" i="1"/>
  <c r="D177" i="1"/>
  <c r="D173" i="1"/>
  <c r="D169" i="1"/>
  <c r="D165" i="1"/>
  <c r="D161" i="1"/>
  <c r="D157" i="1"/>
  <c r="D153" i="1"/>
  <c r="D149" i="1"/>
  <c r="D145" i="1"/>
  <c r="D141" i="1"/>
  <c r="D137" i="1"/>
  <c r="D133" i="1"/>
  <c r="D129" i="1"/>
  <c r="D125" i="1"/>
  <c r="D121" i="1"/>
  <c r="D117" i="1"/>
  <c r="D113" i="1"/>
  <c r="D109" i="1"/>
  <c r="D105" i="1"/>
  <c r="D101" i="1"/>
  <c r="D97" i="1"/>
  <c r="D93" i="1"/>
  <c r="D89" i="1"/>
  <c r="D85" i="1"/>
  <c r="D81" i="1"/>
  <c r="D77" i="1"/>
  <c r="D73" i="1"/>
  <c r="D69" i="1"/>
  <c r="D65" i="1"/>
  <c r="D61" i="1"/>
  <c r="D57" i="1"/>
  <c r="D53" i="1"/>
  <c r="D49" i="1"/>
  <c r="D45" i="1"/>
  <c r="D41" i="1"/>
  <c r="D37" i="1"/>
  <c r="D33" i="1"/>
  <c r="D29" i="1"/>
  <c r="D25" i="1"/>
  <c r="D21" i="1"/>
  <c r="D17" i="1"/>
  <c r="D13" i="1"/>
  <c r="D504" i="1"/>
  <c r="E504" i="1" s="1"/>
  <c r="F504" i="1" s="1"/>
  <c r="D440" i="1"/>
  <c r="D408" i="1"/>
  <c r="D376" i="1"/>
  <c r="D360" i="1"/>
  <c r="D328" i="1"/>
  <c r="D296" i="1"/>
  <c r="D264" i="1"/>
  <c r="E264" i="1" s="1"/>
  <c r="F264" i="1" s="1"/>
  <c r="D232" i="1"/>
  <c r="E232" i="1" s="1"/>
  <c r="F232" i="1" s="1"/>
  <c r="D200" i="1"/>
  <c r="D181" i="1"/>
  <c r="D172" i="1"/>
  <c r="D164" i="1"/>
  <c r="D156" i="1"/>
  <c r="D148" i="1"/>
  <c r="D140" i="1"/>
  <c r="D132" i="1"/>
  <c r="D124" i="1"/>
  <c r="D116" i="1"/>
  <c r="D108" i="1"/>
  <c r="E108" i="1" s="1"/>
  <c r="F108" i="1" s="1"/>
  <c r="D100" i="1"/>
  <c r="D500" i="1"/>
  <c r="D436" i="1"/>
  <c r="D372" i="1"/>
  <c r="D308" i="1"/>
  <c r="D244" i="1"/>
  <c r="D185" i="1"/>
  <c r="D167" i="1"/>
  <c r="D151" i="1"/>
  <c r="D135" i="1"/>
  <c r="D119" i="1"/>
  <c r="D103" i="1"/>
  <c r="D92" i="1"/>
  <c r="D84" i="1"/>
  <c r="D76" i="1"/>
  <c r="D68" i="1"/>
  <c r="D60" i="1"/>
  <c r="D52" i="1"/>
  <c r="D44" i="1"/>
  <c r="D36" i="1"/>
  <c r="D28" i="1"/>
  <c r="D20" i="1"/>
  <c r="D12" i="1"/>
  <c r="D196" i="1"/>
  <c r="D123" i="1"/>
  <c r="D87" i="1"/>
  <c r="D71" i="1"/>
  <c r="D55" i="1"/>
  <c r="D39" i="1"/>
  <c r="D23" i="1"/>
  <c r="D484" i="1"/>
  <c r="D420" i="1"/>
  <c r="D356" i="1"/>
  <c r="D292" i="1"/>
  <c r="D228" i="1"/>
  <c r="D180" i="1"/>
  <c r="D163" i="1"/>
  <c r="D147" i="1"/>
  <c r="D131" i="1"/>
  <c r="D115" i="1"/>
  <c r="D99" i="1"/>
  <c r="D91" i="1"/>
  <c r="D83" i="1"/>
  <c r="D75" i="1"/>
  <c r="D67" i="1"/>
  <c r="D59" i="1"/>
  <c r="D51" i="1"/>
  <c r="D43" i="1"/>
  <c r="D35" i="1"/>
  <c r="D27" i="1"/>
  <c r="D19" i="1"/>
  <c r="D468" i="1"/>
  <c r="D404" i="1"/>
  <c r="D340" i="1"/>
  <c r="D276" i="1"/>
  <c r="D212" i="1"/>
  <c r="D175" i="1"/>
  <c r="D159" i="1"/>
  <c r="D143" i="1"/>
  <c r="D127" i="1"/>
  <c r="D111" i="1"/>
  <c r="D96" i="1"/>
  <c r="D88" i="1"/>
  <c r="D80" i="1"/>
  <c r="D72" i="1"/>
  <c r="D64" i="1"/>
  <c r="D56" i="1"/>
  <c r="D48" i="1"/>
  <c r="D40" i="1"/>
  <c r="D32" i="1"/>
  <c r="D24" i="1"/>
  <c r="D16" i="1"/>
  <c r="D452" i="1"/>
  <c r="D388" i="1"/>
  <c r="D324" i="1"/>
  <c r="D260" i="1"/>
  <c r="D171" i="1"/>
  <c r="D155" i="1"/>
  <c r="D139" i="1"/>
  <c r="D107" i="1"/>
  <c r="D95" i="1"/>
  <c r="D79" i="1"/>
  <c r="D63" i="1"/>
  <c r="D47" i="1"/>
  <c r="D31" i="1"/>
  <c r="D15" i="1"/>
  <c r="E513" i="1" l="1"/>
  <c r="F513" i="1" s="1"/>
  <c r="E35" i="1"/>
  <c r="F35" i="1" s="1"/>
  <c r="E188" i="1"/>
  <c r="F188" i="1" s="1"/>
  <c r="E44" i="1"/>
  <c r="F44" i="1" s="1"/>
  <c r="E296" i="1"/>
  <c r="F296" i="1" s="1"/>
  <c r="E23" i="1"/>
  <c r="F23" i="1" s="1"/>
  <c r="E87" i="1"/>
  <c r="F87" i="1" s="1"/>
  <c r="E19" i="1"/>
  <c r="F19" i="1" s="1"/>
  <c r="E164" i="1"/>
  <c r="F164" i="1" s="1"/>
  <c r="E203" i="1"/>
  <c r="F203" i="1" s="1"/>
  <c r="E219" i="1"/>
  <c r="F219" i="1" s="1"/>
  <c r="E235" i="1"/>
  <c r="F235" i="1" s="1"/>
  <c r="E251" i="1"/>
  <c r="F251" i="1" s="1"/>
  <c r="E267" i="1"/>
  <c r="F267" i="1" s="1"/>
  <c r="E283" i="1"/>
  <c r="F283" i="1" s="1"/>
  <c r="E299" i="1"/>
  <c r="F299" i="1" s="1"/>
  <c r="E315" i="1"/>
  <c r="F315" i="1" s="1"/>
  <c r="E331" i="1"/>
  <c r="F331" i="1" s="1"/>
  <c r="E347" i="1"/>
  <c r="F347" i="1" s="1"/>
  <c r="E363" i="1"/>
  <c r="F363" i="1" s="1"/>
  <c r="E379" i="1"/>
  <c r="F379" i="1" s="1"/>
  <c r="E395" i="1"/>
  <c r="F395" i="1" s="1"/>
  <c r="E411" i="1"/>
  <c r="F411" i="1" s="1"/>
  <c r="E429" i="1"/>
  <c r="F429" i="1" s="1"/>
  <c r="E461" i="1"/>
  <c r="F461" i="1" s="1"/>
  <c r="E493" i="1"/>
  <c r="F493" i="1" s="1"/>
  <c r="E131" i="1"/>
  <c r="F131" i="1" s="1"/>
  <c r="E248" i="1"/>
  <c r="F248" i="1" s="1"/>
  <c r="E376" i="1"/>
  <c r="F376" i="1" s="1"/>
  <c r="E128" i="1"/>
  <c r="F128" i="1" s="1"/>
  <c r="E180" i="1"/>
  <c r="F180" i="1" s="1"/>
  <c r="E127" i="1"/>
  <c r="F127" i="1" s="1"/>
  <c r="E236" i="1"/>
  <c r="F236" i="1" s="1"/>
  <c r="E300" i="1"/>
  <c r="F300" i="1" s="1"/>
  <c r="E364" i="1"/>
  <c r="F364" i="1" s="1"/>
  <c r="E432" i="1"/>
  <c r="F432" i="1" s="1"/>
  <c r="E48" i="1"/>
  <c r="F48" i="1" s="1"/>
  <c r="E151" i="1"/>
  <c r="F151" i="1" s="1"/>
  <c r="E183" i="1"/>
  <c r="F183" i="1" s="1"/>
  <c r="E56" i="1"/>
  <c r="F56" i="1" s="1"/>
  <c r="E80" i="1"/>
  <c r="F80" i="1" s="1"/>
  <c r="E47" i="1"/>
  <c r="F47" i="1" s="1"/>
  <c r="E297" i="1"/>
  <c r="F297" i="1" s="1"/>
  <c r="E123" i="1"/>
  <c r="F123" i="1" s="1"/>
  <c r="E59" i="1"/>
  <c r="F59" i="1" s="1"/>
  <c r="E208" i="1"/>
  <c r="F208" i="1" s="1"/>
  <c r="E272" i="1"/>
  <c r="F272" i="1" s="1"/>
  <c r="E336" i="1"/>
  <c r="F336" i="1" s="1"/>
  <c r="E400" i="1"/>
  <c r="F400" i="1" s="1"/>
  <c r="E421" i="1"/>
  <c r="F421" i="1" s="1"/>
  <c r="E224" i="1"/>
  <c r="F224" i="1" s="1"/>
  <c r="E288" i="1"/>
  <c r="F288" i="1" s="1"/>
  <c r="E352" i="1"/>
  <c r="F352" i="1" s="1"/>
  <c r="E416" i="1"/>
  <c r="F416" i="1" s="1"/>
  <c r="E115" i="1"/>
  <c r="F115" i="1" s="1"/>
  <c r="E216" i="1"/>
  <c r="F216" i="1" s="1"/>
  <c r="E392" i="1"/>
  <c r="F392" i="1" s="1"/>
  <c r="E456" i="1"/>
  <c r="F456" i="1" s="1"/>
  <c r="E88" i="1"/>
  <c r="F88" i="1" s="1"/>
  <c r="E24" i="1"/>
  <c r="F24" i="1" s="1"/>
  <c r="E72" i="1"/>
  <c r="F72" i="1" s="1"/>
  <c r="E32" i="1"/>
  <c r="F32" i="1" s="1"/>
  <c r="E357" i="1"/>
  <c r="F357" i="1" s="1"/>
  <c r="E293" i="1"/>
  <c r="F293" i="1" s="1"/>
  <c r="E111" i="1"/>
  <c r="F111" i="1" s="1"/>
  <c r="E95" i="1"/>
  <c r="F95" i="1" s="1"/>
  <c r="E63" i="1"/>
  <c r="F63" i="1" s="1"/>
  <c r="E217" i="1"/>
  <c r="F217" i="1" s="1"/>
  <c r="E156" i="1"/>
  <c r="F156" i="1" s="1"/>
  <c r="E99" i="1"/>
  <c r="F99" i="1" s="1"/>
  <c r="E107" i="1"/>
  <c r="F107" i="1" s="1"/>
  <c r="E43" i="1"/>
  <c r="F43" i="1" s="1"/>
  <c r="E67" i="1"/>
  <c r="F67" i="1" s="1"/>
  <c r="E150" i="1"/>
  <c r="F150" i="1" s="1"/>
  <c r="E182" i="1"/>
  <c r="F182" i="1" s="1"/>
  <c r="E198" i="1"/>
  <c r="F198" i="1" s="1"/>
  <c r="E230" i="1"/>
  <c r="F230" i="1" s="1"/>
  <c r="E246" i="1"/>
  <c r="F246" i="1" s="1"/>
  <c r="E262" i="1"/>
  <c r="F262" i="1" s="1"/>
  <c r="E278" i="1"/>
  <c r="F278" i="1" s="1"/>
  <c r="E294" i="1"/>
  <c r="F294" i="1" s="1"/>
  <c r="E310" i="1"/>
  <c r="F310" i="1" s="1"/>
  <c r="E326" i="1"/>
  <c r="F326" i="1" s="1"/>
  <c r="E342" i="1"/>
  <c r="F342" i="1" s="1"/>
  <c r="E358" i="1"/>
  <c r="F358" i="1" s="1"/>
  <c r="E374" i="1"/>
  <c r="F374" i="1" s="1"/>
  <c r="E390" i="1"/>
  <c r="F390" i="1" s="1"/>
  <c r="E406" i="1"/>
  <c r="F406" i="1" s="1"/>
  <c r="E422" i="1"/>
  <c r="F422" i="1" s="1"/>
  <c r="E452" i="1"/>
  <c r="F452" i="1" s="1"/>
  <c r="E484" i="1"/>
  <c r="F484" i="1" s="1"/>
  <c r="E312" i="1"/>
  <c r="F312" i="1" s="1"/>
  <c r="E328" i="1"/>
  <c r="F328" i="1" s="1"/>
  <c r="E360" i="1"/>
  <c r="F360" i="1" s="1"/>
  <c r="E408" i="1"/>
  <c r="F408" i="1" s="1"/>
  <c r="E83" i="1"/>
  <c r="F83" i="1" s="1"/>
  <c r="E51" i="1"/>
  <c r="F51" i="1" s="1"/>
  <c r="E166" i="1"/>
  <c r="F166" i="1" s="1"/>
  <c r="E214" i="1"/>
  <c r="F214" i="1" s="1"/>
  <c r="E79" i="1"/>
  <c r="F79" i="1" s="1"/>
  <c r="E31" i="1"/>
  <c r="F31" i="1" s="1"/>
  <c r="E409" i="1"/>
  <c r="F409" i="1" s="1"/>
  <c r="E437" i="1"/>
  <c r="F437" i="1" s="1"/>
  <c r="E469" i="1"/>
  <c r="F469" i="1" s="1"/>
  <c r="E501" i="1"/>
  <c r="F501" i="1" s="1"/>
  <c r="E60" i="1"/>
  <c r="F60" i="1" s="1"/>
  <c r="E195" i="1"/>
  <c r="F195" i="1" s="1"/>
  <c r="E211" i="1"/>
  <c r="F211" i="1" s="1"/>
  <c r="E227" i="1"/>
  <c r="F227" i="1" s="1"/>
  <c r="E243" i="1"/>
  <c r="F243" i="1" s="1"/>
  <c r="E259" i="1"/>
  <c r="F259" i="1" s="1"/>
  <c r="E275" i="1"/>
  <c r="F275" i="1" s="1"/>
  <c r="E291" i="1"/>
  <c r="F291" i="1" s="1"/>
  <c r="E307" i="1"/>
  <c r="F307" i="1" s="1"/>
  <c r="E323" i="1"/>
  <c r="F323" i="1" s="1"/>
  <c r="E339" i="1"/>
  <c r="F339" i="1" s="1"/>
  <c r="E355" i="1"/>
  <c r="F355" i="1" s="1"/>
  <c r="E371" i="1"/>
  <c r="F371" i="1" s="1"/>
  <c r="E387" i="1"/>
  <c r="F387" i="1" s="1"/>
  <c r="E403" i="1"/>
  <c r="F403" i="1" s="1"/>
  <c r="E419" i="1"/>
  <c r="F419" i="1" s="1"/>
  <c r="E112" i="1"/>
  <c r="F112" i="1" s="1"/>
  <c r="E103" i="1"/>
  <c r="F103" i="1" s="1"/>
  <c r="E39" i="1"/>
  <c r="F39" i="1" s="1"/>
  <c r="E104" i="1"/>
  <c r="F104" i="1" s="1"/>
  <c r="E40" i="1"/>
  <c r="F40" i="1" s="1"/>
  <c r="E200" i="1"/>
  <c r="F200" i="1" s="1"/>
  <c r="E280" i="1"/>
  <c r="F280" i="1" s="1"/>
  <c r="E488" i="1"/>
  <c r="F488" i="1" s="1"/>
  <c r="E426" i="1"/>
  <c r="F426" i="1" s="1"/>
  <c r="E442" i="1"/>
  <c r="F442" i="1" s="1"/>
  <c r="E458" i="1"/>
  <c r="F458" i="1" s="1"/>
  <c r="E474" i="1"/>
  <c r="F474" i="1" s="1"/>
  <c r="E490" i="1"/>
  <c r="F490" i="1" s="1"/>
  <c r="E506" i="1"/>
  <c r="F506" i="1" s="1"/>
  <c r="E92" i="1"/>
  <c r="F92" i="1" s="1"/>
  <c r="E28" i="1"/>
  <c r="F28" i="1" s="1"/>
  <c r="E229" i="1"/>
  <c r="F229" i="1" s="1"/>
  <c r="E148" i="1"/>
  <c r="F148" i="1" s="1"/>
  <c r="E15" i="1"/>
  <c r="F15" i="1" s="1"/>
  <c r="E143" i="1"/>
  <c r="F143" i="1" s="1"/>
  <c r="E175" i="1"/>
  <c r="F175" i="1" s="1"/>
  <c r="E220" i="1"/>
  <c r="F220" i="1" s="1"/>
  <c r="E284" i="1"/>
  <c r="F284" i="1" s="1"/>
  <c r="E348" i="1"/>
  <c r="F348" i="1" s="1"/>
  <c r="E412" i="1"/>
  <c r="F412" i="1" s="1"/>
  <c r="E345" i="1"/>
  <c r="F345" i="1" s="1"/>
  <c r="E12" i="1"/>
  <c r="F12" i="1" s="1"/>
  <c r="E120" i="1"/>
  <c r="F120" i="1" s="1"/>
  <c r="E136" i="1"/>
  <c r="F136" i="1" s="1"/>
  <c r="E170" i="1"/>
  <c r="F170" i="1" s="1"/>
  <c r="E202" i="1"/>
  <c r="F202" i="1" s="1"/>
  <c r="E218" i="1"/>
  <c r="F218" i="1" s="1"/>
  <c r="E250" i="1"/>
  <c r="F250" i="1" s="1"/>
  <c r="E282" i="1"/>
  <c r="F282" i="1" s="1"/>
  <c r="E330" i="1"/>
  <c r="F330" i="1" s="1"/>
  <c r="E346" i="1"/>
  <c r="F346" i="1" s="1"/>
  <c r="E378" i="1"/>
  <c r="F378" i="1" s="1"/>
  <c r="E410" i="1"/>
  <c r="F410" i="1" s="1"/>
  <c r="E460" i="1"/>
  <c r="F460" i="1" s="1"/>
  <c r="E268" i="1"/>
  <c r="F268" i="1" s="1"/>
  <c r="E332" i="1"/>
  <c r="F332" i="1" s="1"/>
  <c r="E496" i="1"/>
  <c r="F496" i="1" s="1"/>
  <c r="E446" i="1"/>
  <c r="F446" i="1" s="1"/>
  <c r="E478" i="1"/>
  <c r="F478" i="1" s="1"/>
  <c r="E510" i="1"/>
  <c r="F510" i="1" s="1"/>
  <c r="E160" i="1"/>
  <c r="F160" i="1" s="1"/>
  <c r="E117" i="1"/>
  <c r="F117" i="1" s="1"/>
  <c r="E85" i="1"/>
  <c r="F85" i="1" s="1"/>
  <c r="E69" i="1"/>
  <c r="F69" i="1" s="1"/>
  <c r="E37" i="1"/>
  <c r="F37" i="1" s="1"/>
  <c r="E405" i="1"/>
  <c r="F405" i="1" s="1"/>
  <c r="E277" i="1"/>
  <c r="F277" i="1" s="1"/>
  <c r="E172" i="1"/>
  <c r="F172" i="1" s="1"/>
  <c r="E91" i="1"/>
  <c r="F91" i="1" s="1"/>
  <c r="E142" i="1"/>
  <c r="F142" i="1" s="1"/>
  <c r="E174" i="1"/>
  <c r="F174" i="1" s="1"/>
  <c r="E190" i="1"/>
  <c r="F190" i="1" s="1"/>
  <c r="E222" i="1"/>
  <c r="F222" i="1" s="1"/>
  <c r="E238" i="1"/>
  <c r="F238" i="1" s="1"/>
  <c r="E254" i="1"/>
  <c r="F254" i="1" s="1"/>
  <c r="E270" i="1"/>
  <c r="F270" i="1" s="1"/>
  <c r="E286" i="1"/>
  <c r="F286" i="1" s="1"/>
  <c r="E302" i="1"/>
  <c r="F302" i="1" s="1"/>
  <c r="E318" i="1"/>
  <c r="F318" i="1" s="1"/>
  <c r="E334" i="1"/>
  <c r="F334" i="1" s="1"/>
  <c r="E350" i="1"/>
  <c r="F350" i="1" s="1"/>
  <c r="E366" i="1"/>
  <c r="F366" i="1" s="1"/>
  <c r="E382" i="1"/>
  <c r="F382" i="1" s="1"/>
  <c r="E398" i="1"/>
  <c r="F398" i="1" s="1"/>
  <c r="E414" i="1"/>
  <c r="F414" i="1" s="1"/>
  <c r="E436" i="1"/>
  <c r="F436" i="1" s="1"/>
  <c r="E468" i="1"/>
  <c r="F468" i="1" s="1"/>
  <c r="E500" i="1"/>
  <c r="F500" i="1" s="1"/>
  <c r="E147" i="1"/>
  <c r="F147" i="1" s="1"/>
  <c r="E163" i="1"/>
  <c r="F163" i="1" s="1"/>
  <c r="E179" i="1"/>
  <c r="F179" i="1" s="1"/>
  <c r="E445" i="1"/>
  <c r="F445" i="1" s="1"/>
  <c r="E477" i="1"/>
  <c r="F477" i="1" s="1"/>
  <c r="E509" i="1"/>
  <c r="F509" i="1" s="1"/>
  <c r="E240" i="1"/>
  <c r="F240" i="1" s="1"/>
  <c r="E256" i="1"/>
  <c r="F256" i="1" s="1"/>
  <c r="E304" i="1"/>
  <c r="F304" i="1" s="1"/>
  <c r="E320" i="1"/>
  <c r="F320" i="1" s="1"/>
  <c r="E368" i="1"/>
  <c r="F368" i="1" s="1"/>
  <c r="E384" i="1"/>
  <c r="F384" i="1" s="1"/>
  <c r="E440" i="1"/>
  <c r="F440" i="1" s="1"/>
  <c r="E472" i="1"/>
  <c r="F472" i="1" s="1"/>
  <c r="E434" i="1"/>
  <c r="F434" i="1" s="1"/>
  <c r="E450" i="1"/>
  <c r="F450" i="1" s="1"/>
  <c r="E466" i="1"/>
  <c r="F466" i="1" s="1"/>
  <c r="E482" i="1"/>
  <c r="F482" i="1" s="1"/>
  <c r="E498" i="1"/>
  <c r="F498" i="1" s="1"/>
  <c r="E514" i="1"/>
  <c r="F514" i="1" s="1"/>
  <c r="E455" i="1"/>
  <c r="F455" i="1" s="1"/>
  <c r="E487" i="1"/>
  <c r="F487" i="1" s="1"/>
  <c r="E201" i="1"/>
  <c r="F201" i="1" s="1"/>
  <c r="E417" i="1"/>
  <c r="F417" i="1" s="1"/>
  <c r="E353" i="1"/>
  <c r="F353" i="1" s="1"/>
  <c r="E289" i="1"/>
  <c r="F289" i="1" s="1"/>
  <c r="E225" i="1"/>
  <c r="F225" i="1" s="1"/>
  <c r="E177" i="1"/>
  <c r="F177" i="1" s="1"/>
  <c r="E145" i="1"/>
  <c r="F145" i="1" s="1"/>
  <c r="E126" i="1"/>
  <c r="F126" i="1" s="1"/>
  <c r="E110" i="1"/>
  <c r="F110" i="1" s="1"/>
  <c r="E94" i="1"/>
  <c r="F94" i="1" s="1"/>
  <c r="E78" i="1"/>
  <c r="F78" i="1" s="1"/>
  <c r="E62" i="1"/>
  <c r="F62" i="1" s="1"/>
  <c r="E46" i="1"/>
  <c r="F46" i="1" s="1"/>
  <c r="E30" i="1"/>
  <c r="F30" i="1" s="1"/>
  <c r="E14" i="1"/>
  <c r="F14" i="1" s="1"/>
  <c r="E154" i="1"/>
  <c r="F154" i="1" s="1"/>
  <c r="E186" i="1"/>
  <c r="F186" i="1" s="1"/>
  <c r="E234" i="1"/>
  <c r="F234" i="1" s="1"/>
  <c r="E266" i="1"/>
  <c r="F266" i="1" s="1"/>
  <c r="E298" i="1"/>
  <c r="F298" i="1" s="1"/>
  <c r="E314" i="1"/>
  <c r="F314" i="1" s="1"/>
  <c r="E362" i="1"/>
  <c r="F362" i="1" s="1"/>
  <c r="E394" i="1"/>
  <c r="F394" i="1" s="1"/>
  <c r="E428" i="1"/>
  <c r="F428" i="1" s="1"/>
  <c r="E492" i="1"/>
  <c r="F492" i="1" s="1"/>
  <c r="E204" i="1"/>
  <c r="F204" i="1" s="1"/>
  <c r="E396" i="1"/>
  <c r="F396" i="1" s="1"/>
  <c r="E430" i="1"/>
  <c r="F430" i="1" s="1"/>
  <c r="E462" i="1"/>
  <c r="F462" i="1" s="1"/>
  <c r="E494" i="1"/>
  <c r="F494" i="1" s="1"/>
  <c r="E192" i="1"/>
  <c r="F192" i="1" s="1"/>
  <c r="E133" i="1"/>
  <c r="F133" i="1" s="1"/>
  <c r="E101" i="1"/>
  <c r="F101" i="1" s="1"/>
  <c r="E53" i="1"/>
  <c r="F53" i="1" s="1"/>
  <c r="E21" i="1"/>
  <c r="F21" i="1" s="1"/>
  <c r="E341" i="1"/>
  <c r="F341" i="1" s="1"/>
  <c r="E213" i="1"/>
  <c r="F213" i="1" s="1"/>
  <c r="E140" i="1"/>
  <c r="F140" i="1" s="1"/>
  <c r="E75" i="1"/>
  <c r="F75" i="1" s="1"/>
  <c r="E27" i="1"/>
  <c r="F27" i="1" s="1"/>
  <c r="E158" i="1"/>
  <c r="F158" i="1" s="1"/>
  <c r="E206" i="1"/>
  <c r="F206" i="1" s="1"/>
  <c r="E389" i="1"/>
  <c r="F389" i="1" s="1"/>
  <c r="E325" i="1"/>
  <c r="F325" i="1" s="1"/>
  <c r="E261" i="1"/>
  <c r="F261" i="1" s="1"/>
  <c r="E197" i="1"/>
  <c r="F197" i="1" s="1"/>
  <c r="E135" i="1"/>
  <c r="F135" i="1" s="1"/>
  <c r="E119" i="1"/>
  <c r="F119" i="1" s="1"/>
  <c r="E71" i="1"/>
  <c r="F71" i="1" s="1"/>
  <c r="E55" i="1"/>
  <c r="F55" i="1" s="1"/>
  <c r="E167" i="1"/>
  <c r="F167" i="1" s="1"/>
  <c r="E199" i="1"/>
  <c r="F199" i="1" s="1"/>
  <c r="E215" i="1"/>
  <c r="F215" i="1" s="1"/>
  <c r="E231" i="1"/>
  <c r="F231" i="1" s="1"/>
  <c r="E247" i="1"/>
  <c r="F247" i="1" s="1"/>
  <c r="E263" i="1"/>
  <c r="F263" i="1" s="1"/>
  <c r="E279" i="1"/>
  <c r="F279" i="1" s="1"/>
  <c r="E295" i="1"/>
  <c r="F295" i="1" s="1"/>
  <c r="E311" i="1"/>
  <c r="F311" i="1" s="1"/>
  <c r="E327" i="1"/>
  <c r="F327" i="1" s="1"/>
  <c r="E343" i="1"/>
  <c r="F343" i="1" s="1"/>
  <c r="E359" i="1"/>
  <c r="F359" i="1" s="1"/>
  <c r="E375" i="1"/>
  <c r="F375" i="1" s="1"/>
  <c r="E391" i="1"/>
  <c r="F391" i="1" s="1"/>
  <c r="E407" i="1"/>
  <c r="F407" i="1" s="1"/>
  <c r="E423" i="1"/>
  <c r="F423" i="1" s="1"/>
  <c r="E503" i="1"/>
  <c r="F503" i="1" s="1"/>
  <c r="E465" i="1"/>
  <c r="F465" i="1" s="1"/>
  <c r="E317" i="1"/>
  <c r="F317" i="1" s="1"/>
  <c r="E68" i="1"/>
  <c r="F68" i="1" s="1"/>
  <c r="E481" i="1"/>
  <c r="F481" i="1" s="1"/>
  <c r="E146" i="1"/>
  <c r="F146" i="1" s="1"/>
  <c r="E162" i="1"/>
  <c r="F162" i="1" s="1"/>
  <c r="E178" i="1"/>
  <c r="F178" i="1" s="1"/>
  <c r="E194" i="1"/>
  <c r="F194" i="1" s="1"/>
  <c r="E210" i="1"/>
  <c r="F210" i="1" s="1"/>
  <c r="E226" i="1"/>
  <c r="F226" i="1" s="1"/>
  <c r="E242" i="1"/>
  <c r="F242" i="1" s="1"/>
  <c r="E258" i="1"/>
  <c r="F258" i="1" s="1"/>
  <c r="E274" i="1"/>
  <c r="F274" i="1" s="1"/>
  <c r="E290" i="1"/>
  <c r="F290" i="1" s="1"/>
  <c r="E306" i="1"/>
  <c r="F306" i="1" s="1"/>
  <c r="E322" i="1"/>
  <c r="F322" i="1" s="1"/>
  <c r="E338" i="1"/>
  <c r="F338" i="1" s="1"/>
  <c r="E354" i="1"/>
  <c r="F354" i="1" s="1"/>
  <c r="E370" i="1"/>
  <c r="F370" i="1" s="1"/>
  <c r="E386" i="1"/>
  <c r="F386" i="1" s="1"/>
  <c r="E402" i="1"/>
  <c r="F402" i="1" s="1"/>
  <c r="E418" i="1"/>
  <c r="F418" i="1" s="1"/>
  <c r="E444" i="1"/>
  <c r="F444" i="1" s="1"/>
  <c r="E476" i="1"/>
  <c r="F476" i="1" s="1"/>
  <c r="E508" i="1"/>
  <c r="F508" i="1" s="1"/>
  <c r="E196" i="1"/>
  <c r="F196" i="1" s="1"/>
  <c r="E212" i="1"/>
  <c r="F212" i="1" s="1"/>
  <c r="E228" i="1"/>
  <c r="F228" i="1" s="1"/>
  <c r="E244" i="1"/>
  <c r="F244" i="1" s="1"/>
  <c r="E260" i="1"/>
  <c r="F260" i="1" s="1"/>
  <c r="E276" i="1"/>
  <c r="F276" i="1" s="1"/>
  <c r="E292" i="1"/>
  <c r="F292" i="1" s="1"/>
  <c r="E308" i="1"/>
  <c r="F308" i="1" s="1"/>
  <c r="E324" i="1"/>
  <c r="F324" i="1" s="1"/>
  <c r="E340" i="1"/>
  <c r="F340" i="1" s="1"/>
  <c r="E356" i="1"/>
  <c r="F356" i="1" s="1"/>
  <c r="E372" i="1"/>
  <c r="F372" i="1" s="1"/>
  <c r="E388" i="1"/>
  <c r="F388" i="1" s="1"/>
  <c r="E404" i="1"/>
  <c r="F404" i="1" s="1"/>
  <c r="E420" i="1"/>
  <c r="F420" i="1" s="1"/>
  <c r="E448" i="1"/>
  <c r="F448" i="1" s="1"/>
  <c r="E480" i="1"/>
  <c r="F480" i="1" s="1"/>
  <c r="E512" i="1"/>
  <c r="F512" i="1" s="1"/>
  <c r="E438" i="1"/>
  <c r="F438" i="1" s="1"/>
  <c r="E454" i="1"/>
  <c r="F454" i="1" s="1"/>
  <c r="E470" i="1"/>
  <c r="F470" i="1" s="1"/>
  <c r="E486" i="1"/>
  <c r="F486" i="1" s="1"/>
  <c r="E502" i="1"/>
  <c r="F502" i="1" s="1"/>
  <c r="E427" i="1"/>
  <c r="F427" i="1" s="1"/>
  <c r="E443" i="1"/>
  <c r="F443" i="1" s="1"/>
  <c r="E459" i="1"/>
  <c r="F459" i="1" s="1"/>
  <c r="E475" i="1"/>
  <c r="F475" i="1" s="1"/>
  <c r="E491" i="1"/>
  <c r="F491" i="1" s="1"/>
  <c r="E507" i="1"/>
  <c r="F507" i="1" s="1"/>
  <c r="E401" i="1"/>
  <c r="F401" i="1" s="1"/>
  <c r="E337" i="1"/>
  <c r="F337" i="1" s="1"/>
  <c r="E273" i="1"/>
  <c r="F273" i="1" s="1"/>
  <c r="E209" i="1"/>
  <c r="F209" i="1" s="1"/>
  <c r="E169" i="1"/>
  <c r="F169" i="1" s="1"/>
  <c r="E138" i="1"/>
  <c r="F138" i="1" s="1"/>
  <c r="E122" i="1"/>
  <c r="F122" i="1" s="1"/>
  <c r="E106" i="1"/>
  <c r="F106" i="1" s="1"/>
  <c r="E90" i="1"/>
  <c r="F90" i="1" s="1"/>
  <c r="E74" i="1"/>
  <c r="F74" i="1" s="1"/>
  <c r="E58" i="1"/>
  <c r="F58" i="1" s="1"/>
  <c r="E42" i="1"/>
  <c r="F42" i="1" s="1"/>
  <c r="E26" i="1"/>
  <c r="F26" i="1" s="1"/>
  <c r="E457" i="1"/>
  <c r="F457" i="1" s="1"/>
  <c r="E313" i="1"/>
  <c r="F313" i="1" s="1"/>
  <c r="E181" i="1"/>
  <c r="F181" i="1" s="1"/>
  <c r="E433" i="1"/>
  <c r="F433" i="1" s="1"/>
  <c r="E365" i="1"/>
  <c r="F365" i="1" s="1"/>
  <c r="E301" i="1"/>
  <c r="F301" i="1" s="1"/>
  <c r="E237" i="1"/>
  <c r="F237" i="1" s="1"/>
  <c r="E184" i="1"/>
  <c r="F184" i="1" s="1"/>
  <c r="E152" i="1"/>
  <c r="F152" i="1" s="1"/>
  <c r="E129" i="1"/>
  <c r="F129" i="1" s="1"/>
  <c r="E113" i="1"/>
  <c r="F113" i="1" s="1"/>
  <c r="E97" i="1"/>
  <c r="F97" i="1" s="1"/>
  <c r="E81" i="1"/>
  <c r="F81" i="1" s="1"/>
  <c r="E65" i="1"/>
  <c r="F65" i="1" s="1"/>
  <c r="E49" i="1"/>
  <c r="F49" i="1" s="1"/>
  <c r="E33" i="1"/>
  <c r="F33" i="1" s="1"/>
  <c r="E17" i="1"/>
  <c r="F17" i="1" s="1"/>
  <c r="E377" i="1"/>
  <c r="F377" i="1" s="1"/>
  <c r="E265" i="1"/>
  <c r="F265" i="1" s="1"/>
  <c r="E157" i="1"/>
  <c r="F157" i="1" s="1"/>
  <c r="E96" i="1"/>
  <c r="F96" i="1" s="1"/>
  <c r="E116" i="1"/>
  <c r="F116" i="1" s="1"/>
  <c r="E52" i="1"/>
  <c r="F52" i="1" s="1"/>
  <c r="E439" i="1"/>
  <c r="F439" i="1" s="1"/>
  <c r="E381" i="1"/>
  <c r="F381" i="1" s="1"/>
  <c r="E253" i="1"/>
  <c r="F253" i="1" s="1"/>
  <c r="E173" i="1"/>
  <c r="F173" i="1" s="1"/>
  <c r="E132" i="1"/>
  <c r="F132" i="1" s="1"/>
  <c r="E449" i="1"/>
  <c r="F449" i="1" s="1"/>
  <c r="E139" i="1"/>
  <c r="F139" i="1" s="1"/>
  <c r="E155" i="1"/>
  <c r="F155" i="1" s="1"/>
  <c r="E171" i="1"/>
  <c r="F171" i="1" s="1"/>
  <c r="E187" i="1"/>
  <c r="F187" i="1" s="1"/>
  <c r="E431" i="1"/>
  <c r="F431" i="1" s="1"/>
  <c r="E447" i="1"/>
  <c r="F447" i="1" s="1"/>
  <c r="E463" i="1"/>
  <c r="F463" i="1" s="1"/>
  <c r="E479" i="1"/>
  <c r="F479" i="1" s="1"/>
  <c r="E495" i="1"/>
  <c r="F495" i="1" s="1"/>
  <c r="E511" i="1"/>
  <c r="F511" i="1" s="1"/>
  <c r="E473" i="1"/>
  <c r="F473" i="1" s="1"/>
  <c r="E385" i="1"/>
  <c r="F385" i="1" s="1"/>
  <c r="E321" i="1"/>
  <c r="F321" i="1" s="1"/>
  <c r="E257" i="1"/>
  <c r="F257" i="1" s="1"/>
  <c r="E193" i="1"/>
  <c r="F193" i="1" s="1"/>
  <c r="E161" i="1"/>
  <c r="F161" i="1" s="1"/>
  <c r="E134" i="1"/>
  <c r="F134" i="1" s="1"/>
  <c r="E118" i="1"/>
  <c r="F118" i="1" s="1"/>
  <c r="E102" i="1"/>
  <c r="F102" i="1" s="1"/>
  <c r="E86" i="1"/>
  <c r="F86" i="1" s="1"/>
  <c r="E70" i="1"/>
  <c r="F70" i="1" s="1"/>
  <c r="E54" i="1"/>
  <c r="F54" i="1" s="1"/>
  <c r="E38" i="1"/>
  <c r="F38" i="1" s="1"/>
  <c r="E22" i="1"/>
  <c r="F22" i="1" s="1"/>
  <c r="E425" i="1"/>
  <c r="F425" i="1" s="1"/>
  <c r="E281" i="1"/>
  <c r="F281" i="1" s="1"/>
  <c r="E165" i="1"/>
  <c r="F165" i="1" s="1"/>
  <c r="E413" i="1"/>
  <c r="F413" i="1" s="1"/>
  <c r="E349" i="1"/>
  <c r="F349" i="1" s="1"/>
  <c r="E285" i="1"/>
  <c r="F285" i="1" s="1"/>
  <c r="E221" i="1"/>
  <c r="F221" i="1" s="1"/>
  <c r="E176" i="1"/>
  <c r="F176" i="1" s="1"/>
  <c r="E144" i="1"/>
  <c r="F144" i="1" s="1"/>
  <c r="E125" i="1"/>
  <c r="F125" i="1" s="1"/>
  <c r="E109" i="1"/>
  <c r="F109" i="1" s="1"/>
  <c r="E93" i="1"/>
  <c r="F93" i="1" s="1"/>
  <c r="E77" i="1"/>
  <c r="F77" i="1" s="1"/>
  <c r="E61" i="1"/>
  <c r="F61" i="1" s="1"/>
  <c r="E45" i="1"/>
  <c r="F45" i="1" s="1"/>
  <c r="E29" i="1"/>
  <c r="F29" i="1" s="1"/>
  <c r="E13" i="1"/>
  <c r="F13" i="1" s="1"/>
  <c r="E361" i="1"/>
  <c r="F361" i="1" s="1"/>
  <c r="E233" i="1"/>
  <c r="F233" i="1" s="1"/>
  <c r="E141" i="1"/>
  <c r="F141" i="1" s="1"/>
  <c r="E76" i="1"/>
  <c r="F76" i="1" s="1"/>
  <c r="E16" i="1"/>
  <c r="F16" i="1" s="1"/>
  <c r="E100" i="1"/>
  <c r="F100" i="1" s="1"/>
  <c r="E36" i="1"/>
  <c r="F36" i="1" s="1"/>
  <c r="E471" i="1"/>
  <c r="F471" i="1" s="1"/>
  <c r="E159" i="1"/>
  <c r="F159" i="1" s="1"/>
  <c r="E191" i="1"/>
  <c r="F191" i="1" s="1"/>
  <c r="E207" i="1"/>
  <c r="F207" i="1" s="1"/>
  <c r="E223" i="1"/>
  <c r="F223" i="1" s="1"/>
  <c r="E239" i="1"/>
  <c r="F239" i="1" s="1"/>
  <c r="E255" i="1"/>
  <c r="F255" i="1" s="1"/>
  <c r="E271" i="1"/>
  <c r="F271" i="1" s="1"/>
  <c r="E287" i="1"/>
  <c r="F287" i="1" s="1"/>
  <c r="E303" i="1"/>
  <c r="F303" i="1" s="1"/>
  <c r="E319" i="1"/>
  <c r="F319" i="1" s="1"/>
  <c r="E335" i="1"/>
  <c r="F335" i="1" s="1"/>
  <c r="E351" i="1"/>
  <c r="F351" i="1" s="1"/>
  <c r="E367" i="1"/>
  <c r="F367" i="1" s="1"/>
  <c r="E383" i="1"/>
  <c r="F383" i="1" s="1"/>
  <c r="E399" i="1"/>
  <c r="F399" i="1" s="1"/>
  <c r="E415" i="1"/>
  <c r="F415" i="1" s="1"/>
  <c r="E252" i="1"/>
  <c r="F252" i="1" s="1"/>
  <c r="E316" i="1"/>
  <c r="F316" i="1" s="1"/>
  <c r="E380" i="1"/>
  <c r="F380" i="1" s="1"/>
  <c r="E464" i="1"/>
  <c r="F464" i="1" s="1"/>
  <c r="E435" i="1"/>
  <c r="F435" i="1" s="1"/>
  <c r="E451" i="1"/>
  <c r="F451" i="1" s="1"/>
  <c r="E467" i="1"/>
  <c r="F467" i="1" s="1"/>
  <c r="E483" i="1"/>
  <c r="F483" i="1" s="1"/>
  <c r="E499" i="1"/>
  <c r="F499" i="1" s="1"/>
  <c r="E441" i="1"/>
  <c r="F441" i="1" s="1"/>
  <c r="E369" i="1"/>
  <c r="F369" i="1" s="1"/>
  <c r="E305" i="1"/>
  <c r="F305" i="1" s="1"/>
  <c r="E241" i="1"/>
  <c r="F241" i="1" s="1"/>
  <c r="E185" i="1"/>
  <c r="F185" i="1" s="1"/>
  <c r="E153" i="1"/>
  <c r="F153" i="1" s="1"/>
  <c r="E130" i="1"/>
  <c r="F130" i="1" s="1"/>
  <c r="E114" i="1"/>
  <c r="F114" i="1" s="1"/>
  <c r="E98" i="1"/>
  <c r="F98" i="1" s="1"/>
  <c r="E82" i="1"/>
  <c r="F82" i="1" s="1"/>
  <c r="E66" i="1"/>
  <c r="F66" i="1" s="1"/>
  <c r="E50" i="1"/>
  <c r="F50" i="1" s="1"/>
  <c r="E34" i="1"/>
  <c r="F34" i="1" s="1"/>
  <c r="E18" i="1"/>
  <c r="F18" i="1" s="1"/>
  <c r="E393" i="1"/>
  <c r="F393" i="1" s="1"/>
  <c r="E249" i="1"/>
  <c r="F249" i="1" s="1"/>
  <c r="E149" i="1"/>
  <c r="F149" i="1" s="1"/>
  <c r="E497" i="1"/>
  <c r="F497" i="1" s="1"/>
  <c r="E397" i="1"/>
  <c r="F397" i="1" s="1"/>
  <c r="E333" i="1"/>
  <c r="F333" i="1" s="1"/>
  <c r="E269" i="1"/>
  <c r="F269" i="1" s="1"/>
  <c r="E205" i="1"/>
  <c r="F205" i="1" s="1"/>
  <c r="E168" i="1"/>
  <c r="F168" i="1" s="1"/>
  <c r="E137" i="1"/>
  <c r="F137" i="1" s="1"/>
  <c r="E121" i="1"/>
  <c r="F121" i="1" s="1"/>
  <c r="E105" i="1"/>
  <c r="F105" i="1" s="1"/>
  <c r="E89" i="1"/>
  <c r="F89" i="1" s="1"/>
  <c r="E73" i="1"/>
  <c r="F73" i="1" s="1"/>
  <c r="E57" i="1"/>
  <c r="F57" i="1" s="1"/>
  <c r="E41" i="1"/>
  <c r="F41" i="1" s="1"/>
  <c r="E25" i="1"/>
  <c r="F25" i="1" s="1"/>
  <c r="E489" i="1"/>
  <c r="F489" i="1" s="1"/>
  <c r="E329" i="1"/>
  <c r="F329" i="1" s="1"/>
  <c r="E189" i="1"/>
  <c r="F189" i="1" s="1"/>
  <c r="E124" i="1"/>
  <c r="F124" i="1" s="1"/>
  <c r="E64" i="1"/>
  <c r="F64" i="1" s="1"/>
  <c r="E505" i="1"/>
  <c r="F505" i="1" s="1"/>
  <c r="E84" i="1"/>
  <c r="F84" i="1" s="1"/>
  <c r="E20" i="1"/>
  <c r="F20" i="1" s="1"/>
  <c r="F10" i="1" l="1"/>
  <c r="E10" i="1"/>
  <c r="G513" i="1" l="1"/>
  <c r="G245" i="1"/>
  <c r="G108" i="1"/>
  <c r="G232" i="1"/>
  <c r="G309" i="1"/>
  <c r="G264" i="1"/>
  <c r="G504" i="1"/>
  <c r="G453" i="1"/>
  <c r="G373" i="1"/>
  <c r="G344" i="1"/>
  <c r="G485" i="1"/>
  <c r="G424" i="1"/>
  <c r="G142" i="1"/>
  <c r="G436" i="1"/>
  <c r="G126" i="1"/>
  <c r="G27" i="1"/>
  <c r="G146" i="1"/>
  <c r="G251" i="1"/>
  <c r="G328" i="1"/>
  <c r="G35" i="1"/>
  <c r="G331" i="1"/>
  <c r="G300" i="1"/>
  <c r="G421" i="1"/>
  <c r="G95" i="1"/>
  <c r="G310" i="1"/>
  <c r="G166" i="1"/>
  <c r="G307" i="1"/>
  <c r="G426" i="1"/>
  <c r="G412" i="1"/>
  <c r="G332" i="1"/>
  <c r="G190" i="1"/>
  <c r="G500" i="1"/>
  <c r="G450" i="1"/>
  <c r="G94" i="1"/>
  <c r="G204" i="1"/>
  <c r="G206" i="1"/>
  <c r="G295" i="1"/>
  <c r="G178" i="1"/>
  <c r="G444" i="1"/>
  <c r="G404" i="1"/>
  <c r="G219" i="1"/>
  <c r="G131" i="1"/>
  <c r="G297" i="1"/>
  <c r="G88" i="1"/>
  <c r="G182" i="1"/>
  <c r="G484" i="1"/>
  <c r="G195" i="1"/>
  <c r="G103" i="1"/>
  <c r="G148" i="1"/>
  <c r="G282" i="1"/>
  <c r="G37" i="1"/>
  <c r="G350" i="1"/>
  <c r="G304" i="1"/>
  <c r="G353" i="1"/>
  <c r="G266" i="1"/>
  <c r="G21" i="1"/>
  <c r="G167" i="1"/>
  <c r="G503" i="1"/>
  <c r="G322" i="1"/>
  <c r="G19" i="1"/>
  <c r="G429" i="1"/>
  <c r="G56" i="1"/>
  <c r="G216" i="1"/>
  <c r="G43" i="1"/>
  <c r="G406" i="1"/>
  <c r="G469" i="1"/>
  <c r="G403" i="1"/>
  <c r="G92" i="1"/>
  <c r="G12" i="1"/>
  <c r="G446" i="1"/>
  <c r="G238" i="1"/>
  <c r="G163" i="1"/>
  <c r="G482" i="1"/>
  <c r="G62" i="1"/>
  <c r="G430" i="1"/>
  <c r="G325" i="1"/>
  <c r="G327" i="1"/>
  <c r="G210" i="1"/>
  <c r="G508" i="1"/>
  <c r="G315" i="1"/>
  <c r="G236" i="1"/>
  <c r="G400" i="1"/>
  <c r="G111" i="1"/>
  <c r="G294" i="1"/>
  <c r="G51" i="1"/>
  <c r="G291" i="1"/>
  <c r="G488" i="1"/>
  <c r="G348" i="1"/>
  <c r="G268" i="1"/>
  <c r="G174" i="1"/>
  <c r="G468" i="1"/>
  <c r="G434" i="1"/>
  <c r="G110" i="1"/>
  <c r="G492" i="1"/>
  <c r="G158" i="1"/>
  <c r="G279" i="1"/>
  <c r="G162" i="1"/>
  <c r="G418" i="1"/>
  <c r="G388" i="1"/>
  <c r="G401" i="1"/>
  <c r="G433" i="1"/>
  <c r="G157" i="1"/>
  <c r="G463" i="1"/>
  <c r="G38" i="1"/>
  <c r="G191" i="1"/>
  <c r="G34" i="1"/>
  <c r="G228" i="1"/>
  <c r="G438" i="1"/>
  <c r="G138" i="1"/>
  <c r="G152" i="1"/>
  <c r="G381" i="1"/>
  <c r="G385" i="1"/>
  <c r="G413" i="1"/>
  <c r="G141" i="1"/>
  <c r="G335" i="1"/>
  <c r="G369" i="1"/>
  <c r="G497" i="1"/>
  <c r="G189" i="1"/>
  <c r="G223" i="1"/>
  <c r="G66" i="1"/>
  <c r="G244" i="1"/>
  <c r="G454" i="1"/>
  <c r="G122" i="1"/>
  <c r="G129" i="1"/>
  <c r="G253" i="1"/>
  <c r="G321" i="1"/>
  <c r="G349" i="1"/>
  <c r="G287" i="1"/>
  <c r="G393" i="1"/>
  <c r="G443" i="1"/>
  <c r="G42" i="1"/>
  <c r="G49" i="1"/>
  <c r="G155" i="1"/>
  <c r="G118" i="1"/>
  <c r="G125" i="1"/>
  <c r="G159" i="1"/>
  <c r="G252" i="1"/>
  <c r="G114" i="1"/>
  <c r="G137" i="1"/>
  <c r="G221" i="1"/>
  <c r="G383" i="1"/>
  <c r="G149" i="1"/>
  <c r="G208" i="1"/>
  <c r="G360" i="1"/>
  <c r="G175" i="1"/>
  <c r="G398" i="1"/>
  <c r="G362" i="1"/>
  <c r="G23" i="1"/>
  <c r="G151" i="1"/>
  <c r="G99" i="1"/>
  <c r="G409" i="1"/>
  <c r="G490" i="1"/>
  <c r="G510" i="1"/>
  <c r="G514" i="1"/>
  <c r="G494" i="1"/>
  <c r="G359" i="1"/>
  <c r="G212" i="1"/>
  <c r="G283" i="1"/>
  <c r="G272" i="1"/>
  <c r="G262" i="1"/>
  <c r="G259" i="1"/>
  <c r="G220" i="1"/>
  <c r="G414" i="1"/>
  <c r="G145" i="1"/>
  <c r="G75" i="1"/>
  <c r="G481" i="1"/>
  <c r="G235" i="1"/>
  <c r="G123" i="1"/>
  <c r="G312" i="1"/>
  <c r="G39" i="1"/>
  <c r="G202" i="1"/>
  <c r="G302" i="1"/>
  <c r="G487" i="1"/>
  <c r="G133" i="1"/>
  <c r="G391" i="1"/>
  <c r="G296" i="1"/>
  <c r="G48" i="1"/>
  <c r="G352" i="1"/>
  <c r="G156" i="1"/>
  <c r="G358" i="1"/>
  <c r="G355" i="1"/>
  <c r="G474" i="1"/>
  <c r="G120" i="1"/>
  <c r="G478" i="1"/>
  <c r="G254" i="1"/>
  <c r="G179" i="1"/>
  <c r="G498" i="1"/>
  <c r="G46" i="1"/>
  <c r="G462" i="1"/>
  <c r="G261" i="1"/>
  <c r="G343" i="1"/>
  <c r="G226" i="1"/>
  <c r="G196" i="1"/>
  <c r="G480" i="1"/>
  <c r="G169" i="1"/>
  <c r="G184" i="1"/>
  <c r="G439" i="1"/>
  <c r="G473" i="1"/>
  <c r="G165" i="1"/>
  <c r="G319" i="1"/>
  <c r="G269" i="1"/>
  <c r="G292" i="1"/>
  <c r="G502" i="1"/>
  <c r="G74" i="1"/>
  <c r="G81" i="1"/>
  <c r="G449" i="1"/>
  <c r="G161" i="1"/>
  <c r="G176" i="1"/>
  <c r="G36" i="1"/>
  <c r="G399" i="1"/>
  <c r="G153" i="1"/>
  <c r="G205" i="1"/>
  <c r="G84" i="1"/>
  <c r="G351" i="1"/>
  <c r="G397" i="1"/>
  <c r="G308" i="1"/>
  <c r="G427" i="1"/>
  <c r="G58" i="1"/>
  <c r="G65" i="1"/>
  <c r="G139" i="1"/>
  <c r="G134" i="1"/>
  <c r="G77" i="1"/>
  <c r="G415" i="1"/>
  <c r="G168" i="1"/>
  <c r="G507" i="1"/>
  <c r="G181" i="1"/>
  <c r="G265" i="1"/>
  <c r="G447" i="1"/>
  <c r="G54" i="1"/>
  <c r="G61" i="1"/>
  <c r="G239" i="1"/>
  <c r="G435" i="1"/>
  <c r="G50" i="1"/>
  <c r="G73" i="1"/>
  <c r="G45" i="1"/>
  <c r="G316" i="1"/>
  <c r="G121" i="1"/>
  <c r="G128" i="1"/>
  <c r="G246" i="1"/>
  <c r="G243" i="1"/>
  <c r="G378" i="1"/>
  <c r="G384" i="1"/>
  <c r="G231" i="1"/>
  <c r="G395" i="1"/>
  <c r="G416" i="1"/>
  <c r="G374" i="1"/>
  <c r="G371" i="1"/>
  <c r="G136" i="1"/>
  <c r="G270" i="1"/>
  <c r="G445" i="1"/>
  <c r="G30" i="1"/>
  <c r="G197" i="1"/>
  <c r="G242" i="1"/>
  <c r="G512" i="1"/>
  <c r="G180" i="1"/>
  <c r="G357" i="1"/>
  <c r="G408" i="1"/>
  <c r="G200" i="1"/>
  <c r="G410" i="1"/>
  <c r="G91" i="1"/>
  <c r="G440" i="1"/>
  <c r="G394" i="1"/>
  <c r="G247" i="1"/>
  <c r="G386" i="1"/>
  <c r="G248" i="1"/>
  <c r="G24" i="1"/>
  <c r="G198" i="1"/>
  <c r="G211" i="1"/>
  <c r="G15" i="1"/>
  <c r="G117" i="1"/>
  <c r="G509" i="1"/>
  <c r="G154" i="1"/>
  <c r="G119" i="1"/>
  <c r="G274" i="1"/>
  <c r="G379" i="1"/>
  <c r="G31" i="1"/>
  <c r="G203" i="1"/>
  <c r="G493" i="1"/>
  <c r="G47" i="1"/>
  <c r="G456" i="1"/>
  <c r="G150" i="1"/>
  <c r="G452" i="1"/>
  <c r="G60" i="1"/>
  <c r="G112" i="1"/>
  <c r="G229" i="1"/>
  <c r="G250" i="1"/>
  <c r="G69" i="1"/>
  <c r="G334" i="1"/>
  <c r="G256" i="1"/>
  <c r="G417" i="1"/>
  <c r="G234" i="1"/>
  <c r="G53" i="1"/>
  <c r="G55" i="1"/>
  <c r="G423" i="1"/>
  <c r="G306" i="1"/>
  <c r="G276" i="1"/>
  <c r="G188" i="1"/>
  <c r="G347" i="1"/>
  <c r="G364" i="1"/>
  <c r="G224" i="1"/>
  <c r="G63" i="1"/>
  <c r="G326" i="1"/>
  <c r="G214" i="1"/>
  <c r="G323" i="1"/>
  <c r="G442" i="1"/>
  <c r="G345" i="1"/>
  <c r="G496" i="1"/>
  <c r="G222" i="1"/>
  <c r="G147" i="1"/>
  <c r="G466" i="1"/>
  <c r="G78" i="1"/>
  <c r="G396" i="1"/>
  <c r="G389" i="1"/>
  <c r="G311" i="1"/>
  <c r="G194" i="1"/>
  <c r="G476" i="1"/>
  <c r="G299" i="1"/>
  <c r="G127" i="1"/>
  <c r="G336" i="1"/>
  <c r="G293" i="1"/>
  <c r="G278" i="1"/>
  <c r="G83" i="1"/>
  <c r="G275" i="1"/>
  <c r="G280" i="1"/>
  <c r="G284" i="1"/>
  <c r="G330" i="1"/>
  <c r="G405" i="1"/>
  <c r="G366" i="1"/>
  <c r="G320" i="1"/>
  <c r="G289" i="1"/>
  <c r="G298" i="1"/>
  <c r="G341" i="1"/>
  <c r="G199" i="1"/>
  <c r="G465" i="1"/>
  <c r="G338" i="1"/>
  <c r="G164" i="1"/>
  <c r="G461" i="1"/>
  <c r="G80" i="1"/>
  <c r="G392" i="1"/>
  <c r="G67" i="1"/>
  <c r="G422" i="1"/>
  <c r="G501" i="1"/>
  <c r="G419" i="1"/>
  <c r="G28" i="1"/>
  <c r="G218" i="1"/>
  <c r="G85" i="1"/>
  <c r="G318" i="1"/>
  <c r="G240" i="1"/>
  <c r="G201" i="1"/>
  <c r="G186" i="1"/>
  <c r="G101" i="1"/>
  <c r="G71" i="1"/>
  <c r="G407" i="1"/>
  <c r="G290" i="1"/>
  <c r="G260" i="1"/>
  <c r="G486" i="1"/>
  <c r="G90" i="1"/>
  <c r="G97" i="1"/>
  <c r="G132" i="1"/>
  <c r="G193" i="1"/>
  <c r="G109" i="1"/>
  <c r="G451" i="1"/>
  <c r="G57" i="1"/>
  <c r="G356" i="1"/>
  <c r="G475" i="1"/>
  <c r="G457" i="1"/>
  <c r="G17" i="1"/>
  <c r="G187" i="1"/>
  <c r="G86" i="1"/>
  <c r="G93" i="1"/>
  <c r="G207" i="1"/>
  <c r="G380" i="1"/>
  <c r="G82" i="1"/>
  <c r="G105" i="1"/>
  <c r="G144" i="1"/>
  <c r="G464" i="1"/>
  <c r="G89" i="1"/>
  <c r="G372" i="1"/>
  <c r="G491" i="1"/>
  <c r="G313" i="1"/>
  <c r="G377" i="1"/>
  <c r="G431" i="1"/>
  <c r="G70" i="1"/>
  <c r="G76" i="1"/>
  <c r="G483" i="1"/>
  <c r="G25" i="1"/>
  <c r="G209" i="1"/>
  <c r="G237" i="1"/>
  <c r="G52" i="1"/>
  <c r="G511" i="1"/>
  <c r="G281" i="1"/>
  <c r="G361" i="1"/>
  <c r="G303" i="1"/>
  <c r="G499" i="1"/>
  <c r="G249" i="1"/>
  <c r="G489" i="1"/>
  <c r="G100" i="1"/>
  <c r="G441" i="1"/>
  <c r="G329" i="1"/>
  <c r="G267" i="1"/>
  <c r="G32" i="1"/>
  <c r="G40" i="1"/>
  <c r="G172" i="1"/>
  <c r="G177" i="1"/>
  <c r="G140" i="1"/>
  <c r="G68" i="1"/>
  <c r="G370" i="1"/>
  <c r="G340" i="1"/>
  <c r="G87" i="1"/>
  <c r="G411" i="1"/>
  <c r="G183" i="1"/>
  <c r="G115" i="1"/>
  <c r="G107" i="1"/>
  <c r="G390" i="1"/>
  <c r="G437" i="1"/>
  <c r="G387" i="1"/>
  <c r="G506" i="1"/>
  <c r="G170" i="1"/>
  <c r="G160" i="1"/>
  <c r="G286" i="1"/>
  <c r="G477" i="1"/>
  <c r="G455" i="1"/>
  <c r="G14" i="1"/>
  <c r="G192" i="1"/>
  <c r="G135" i="1"/>
  <c r="G375" i="1"/>
  <c r="G258" i="1"/>
  <c r="G44" i="1"/>
  <c r="G363" i="1"/>
  <c r="G432" i="1"/>
  <c r="G288" i="1"/>
  <c r="G217" i="1"/>
  <c r="G342" i="1"/>
  <c r="G79" i="1"/>
  <c r="G339" i="1"/>
  <c r="G458" i="1"/>
  <c r="G460" i="1"/>
  <c r="G472" i="1"/>
  <c r="G428" i="1"/>
  <c r="G263" i="1"/>
  <c r="G402" i="1"/>
  <c r="G376" i="1"/>
  <c r="G59" i="1"/>
  <c r="G72" i="1"/>
  <c r="G230" i="1"/>
  <c r="G227" i="1"/>
  <c r="G104" i="1"/>
  <c r="G143" i="1"/>
  <c r="G346" i="1"/>
  <c r="G277" i="1"/>
  <c r="G382" i="1"/>
  <c r="G368" i="1"/>
  <c r="G225" i="1"/>
  <c r="G314" i="1"/>
  <c r="G213" i="1"/>
  <c r="G215" i="1"/>
  <c r="S12" i="1" s="1" a="1"/>
  <c r="G317" i="1"/>
  <c r="G354" i="1"/>
  <c r="G324" i="1"/>
  <c r="G459" i="1"/>
  <c r="G26" i="1"/>
  <c r="G33" i="1"/>
  <c r="G171" i="1"/>
  <c r="G102" i="1"/>
  <c r="G233" i="1"/>
  <c r="G185" i="1"/>
  <c r="G20" i="1"/>
  <c r="G420" i="1"/>
  <c r="G337" i="1"/>
  <c r="G365" i="1"/>
  <c r="G96" i="1"/>
  <c r="G479" i="1"/>
  <c r="G22" i="1"/>
  <c r="G29" i="1"/>
  <c r="G271" i="1"/>
  <c r="G467" i="1"/>
  <c r="G18" i="1"/>
  <c r="G41" i="1"/>
  <c r="G13" i="1"/>
  <c r="G305" i="1"/>
  <c r="G124" i="1"/>
  <c r="G448" i="1"/>
  <c r="G273" i="1"/>
  <c r="G301" i="1"/>
  <c r="G116" i="1"/>
  <c r="G495" i="1"/>
  <c r="G425" i="1"/>
  <c r="G471" i="1"/>
  <c r="G130" i="1"/>
  <c r="G470" i="1"/>
  <c r="G106" i="1"/>
  <c r="G113" i="1"/>
  <c r="G173" i="1"/>
  <c r="G257" i="1"/>
  <c r="G285" i="1"/>
  <c r="G16" i="1"/>
  <c r="G367" i="1"/>
  <c r="G241" i="1"/>
  <c r="G333" i="1"/>
  <c r="G64" i="1"/>
  <c r="G255" i="1"/>
  <c r="G98" i="1"/>
  <c r="G505" i="1"/>
  <c r="S12" i="1" l="1"/>
  <c r="S16" i="1"/>
  <c r="V14" i="1"/>
  <c r="T12" i="1"/>
  <c r="AA8" i="1" s="1"/>
  <c r="V15" i="1"/>
  <c r="V12" i="1"/>
  <c r="U14" i="1"/>
  <c r="V13" i="1"/>
  <c r="S14" i="1"/>
  <c r="T15" i="1"/>
  <c r="U16" i="1"/>
  <c r="T13" i="1"/>
  <c r="S15" i="1"/>
  <c r="U12" i="1"/>
  <c r="Z8" i="1" s="1"/>
  <c r="U15" i="1"/>
  <c r="S13" i="1"/>
  <c r="T16" i="1"/>
  <c r="U13" i="1"/>
  <c r="V16" i="1"/>
  <c r="T14" i="1"/>
  <c r="AC8" i="1" s="1"/>
  <c r="AB8" i="1"/>
  <c r="Y8" i="1"/>
  <c r="G10" i="1"/>
  <c r="C21" i="7" a="1"/>
  <c r="V17" i="1" l="1"/>
  <c r="T17" i="1"/>
  <c r="S17" i="1"/>
  <c r="U17" i="1"/>
  <c r="C21" i="7"/>
  <c r="C35" i="7" s="1"/>
  <c r="C46" i="7" s="1"/>
  <c r="C23" i="7"/>
  <c r="C37" i="7" s="1"/>
  <c r="C48" i="7" s="1"/>
  <c r="G24" i="7"/>
  <c r="G38" i="7" s="1"/>
  <c r="G49" i="7" s="1"/>
  <c r="F21" i="7"/>
  <c r="F35" i="7" s="1"/>
  <c r="F46" i="7" s="1"/>
  <c r="G22" i="7"/>
  <c r="G36" i="7" s="1"/>
  <c r="G47" i="7" s="1"/>
  <c r="C25" i="7"/>
  <c r="C39" i="7" s="1"/>
  <c r="C50" i="7" s="1"/>
  <c r="G21" i="7"/>
  <c r="G35" i="7" s="1"/>
  <c r="G46" i="7" s="1"/>
  <c r="E25" i="7"/>
  <c r="E39" i="7" s="1"/>
  <c r="E50" i="7" s="1"/>
  <c r="D22" i="7"/>
  <c r="D36" i="7" s="1"/>
  <c r="D47" i="7" s="1"/>
  <c r="C24" i="7"/>
  <c r="C38" i="7" s="1"/>
  <c r="C49" i="7" s="1"/>
  <c r="D25" i="7"/>
  <c r="D39" i="7" s="1"/>
  <c r="D50" i="7" s="1"/>
  <c r="C22" i="7"/>
  <c r="C36" i="7" s="1"/>
  <c r="C47" i="7" s="1"/>
  <c r="D24" i="7"/>
  <c r="D38" i="7" s="1"/>
  <c r="D49" i="7" s="1"/>
  <c r="F24" i="7"/>
  <c r="F38" i="7" s="1"/>
  <c r="F49" i="7" s="1"/>
  <c r="E21" i="7"/>
  <c r="E35" i="7" s="1"/>
  <c r="E46" i="7" s="1"/>
  <c r="D23" i="7"/>
  <c r="D37" i="7" s="1"/>
  <c r="D48" i="7" s="1"/>
  <c r="E24" i="7"/>
  <c r="E38" i="7" s="1"/>
  <c r="E49" i="7" s="1"/>
  <c r="D21" i="7"/>
  <c r="D35" i="7" s="1"/>
  <c r="D46" i="7" s="1"/>
  <c r="E23" i="7"/>
  <c r="E37" i="7" s="1"/>
  <c r="E48" i="7" s="1"/>
  <c r="G23" i="7"/>
  <c r="G37" i="7" s="1"/>
  <c r="G48" i="7" s="1"/>
  <c r="F25" i="7"/>
  <c r="F39" i="7" s="1"/>
  <c r="F50" i="7" s="1"/>
  <c r="E22" i="7"/>
  <c r="E36" i="7" s="1"/>
  <c r="E47" i="7" s="1"/>
  <c r="F23" i="7"/>
  <c r="F37" i="7" s="1"/>
  <c r="F48" i="7" s="1"/>
  <c r="G25" i="7"/>
  <c r="G39" i="7" s="1"/>
  <c r="G50" i="7" s="1"/>
  <c r="F22" i="7"/>
  <c r="F36" i="7" s="1"/>
  <c r="F47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</author>
  </authors>
  <commentList>
    <comment ref="A1" authorId="0" shapeId="0" xr:uid="{9709C5D1-5C68-4B14-AA59-ACD32F5F2C61}">
      <text>
        <r>
          <rPr>
            <b/>
            <sz val="9"/>
            <color indexed="81"/>
            <rFont val="Tahoma"/>
            <family val="2"/>
          </rPr>
          <t>&lt;?xml version="1.0" encoding="utf-8"?&gt;&lt;Schema xmlns:xsd="http://www.w3.org/2001/XMLSchema" xmlns:xsi="http://www.w3.org/2001/XMLSchema-instance" Version="1"&gt;&lt;FQL&gt;&lt;Q&gt;R.2000^FG_PRICE(0)&lt;/Q&gt;&lt;R&gt;1&lt;/R&gt;&lt;C&gt;1&lt;/C&gt;&lt;D xsi:type="xsd:double"&gt;3734.48286&lt;/D&gt;&lt;/FQL&gt;&lt;FQL&gt;&lt;Q&gt;R.2000^FG_PRICE(36528)&lt;/Q&gt;&lt;R&gt;1&lt;/R&gt;&lt;C&gt;1&lt;/C&gt;&lt;D xsi:type="xsd:double"&gt;1237.959595&lt;/D&gt;&lt;/FQL&gt;&lt;FQL&gt;&lt;Q&gt;R.2000^FG_PRICE(36528,36528)&lt;/Q&gt;&lt;R&gt;1&lt;/R&gt;&lt;C&gt;1&lt;/C&gt;&lt;D xsi:type="xsd:double"&gt;1237.959595&lt;/D&gt;&lt;/FQL&gt;&lt;FQL&gt;&lt;Q&gt;R.2000^FG_PRICE(36529,36529)&lt;/Q&gt;&lt;R&gt;1&lt;/R&gt;&lt;C&gt;1&lt;/C&gt;&lt;D xsi:type="xsd:double"&gt;1190.522705&lt;/D&gt;&lt;/FQL&gt;&lt;FQL&gt;&lt;Q&gt;R.2000^FG_PRICE(36530,36530)&lt;/Q&gt;&lt;R&gt;1&lt;/R&gt;&lt;C&gt;1&lt;/C&gt;&lt;D xsi:type="xsd:double"&gt;1191.570068&lt;/D&gt;&lt;/FQL&gt;&lt;FQL&gt;&lt;Q&gt;R.2000^FG_PRICE(36531,36531)&lt;/Q&gt;&lt;R&gt;1&lt;/R&gt;&lt;C&gt;1&lt;/C&gt;&lt;D xsi:type="xsd:double"&gt;1182.712036&lt;/D&gt;&lt;/FQL&gt;&lt;FQL&gt;&lt;Q&gt;R.2000^FG_PRICE(36532,36532)&lt;/Q&gt;&lt;R&gt;1&lt;/R&gt;&lt;C&gt;1&lt;/C&gt;&lt;D xsi:type="xsd:double"&gt;1215.315308&lt;/D&gt;&lt;/FQL&gt;&lt;FQL&gt;&lt;Q&gt;R.2000^FG_PRICE(36535,36535)&lt;/Q&gt;&lt;R&gt;1&lt;/R&gt;&lt;C&gt;1&lt;/C&gt;&lt;D xsi:type="xsd:double"&gt;1249.010498&lt;/D&gt;&lt;/FQL&gt;&lt;FQL&gt;&lt;Q&gt;R.2000^FG_PRICE(36536,36536)&lt;/Q&gt;&lt;R&gt;1&lt;/R&gt;&lt;C&gt;1&lt;/C&gt;&lt;D xsi:type="xsd:double"&gt;1225.863647&lt;/D&gt;&lt;/FQL&gt;&lt;FQL&gt;&lt;Q&gt;R.2000^FG_PRICE(36537,36537)&lt;/Q&gt;&lt;R&gt;1&lt;/R&gt;&lt;C&gt;1&lt;/C&gt;&lt;D xsi:type="xsd:double"&gt;1219.296875&lt;/D&gt;&lt;/FQL&gt;&lt;FQL&gt;&lt;Q&gt;R.2000^FG_PRICE(36538,36538)&lt;/Q&gt;&lt;R&gt;1&lt;/R&gt;&lt;C&gt;1&lt;/C&gt;&lt;D xsi:type="xsd:double"&gt;1247.226807&lt;/D&gt;&lt;/FQL&gt;&lt;FQL&gt;&lt;Q&gt;R.2000^FG_PRICE(36539,36539)&lt;/Q&gt;&lt;R&gt;1&lt;/R&gt;&lt;C&gt;1&lt;/C&gt;&lt;D xsi:type="xsd:double"&gt;1263.209961&lt;/D&gt;&lt;/FQL&gt;&lt;FQL&gt;&lt;Q&gt;R.2000^FG_PRICE(36543,36543)&lt;/Q&gt;&lt;R&gt;1&lt;/R&gt;&lt;C&gt;1&lt;/C&gt;&lt;D xsi:type="xsd:double"&gt;1277.686401&lt;/D&gt;&lt;/FQL&gt;&lt;FQL&gt;&lt;Q&gt;R.2000^FG_PRICE(36544,36544)&lt;/Q&gt;&lt;R&gt;1&lt;/R&gt;&lt;C&gt;1&lt;/C&gt;&lt;D xsi:type="xsd:double"&gt;1293.961548&lt;/D&gt;&lt;/FQL&gt;&lt;FQL&gt;&lt;Q&gt;R.2000^FG_PRICE(36545,36545)&lt;/Q&gt;&lt;R&gt;1&lt;/R&gt;&lt;C&gt;1&lt;/C&gt;&lt;D xsi:type="xsd:double"&gt;1312.173828&lt;/D&gt;&lt;/FQL&gt;&lt;FQL&gt;&lt;Q&gt;R.2000^FG_PRICE(36546,36546)&lt;/Q&gt;&lt;R&gt;1&lt;/R&gt;&lt;C&gt;1&lt;/C&gt;&lt;D xsi:type="xsd:double"&gt;1328.686768&lt;/D&gt;&lt;/FQL&gt;&lt;FQL&gt;&lt;Q&gt;R.2000^FG_PRICE(36549,36549)&lt;/Q&gt;&lt;R&gt;1&lt;/R&gt;&lt;C&gt;1&lt;/C&gt;&lt;D xsi:type="xsd:double"&gt;1301.789062&lt;/D&gt;&lt;/FQL&gt;&lt;FQL&gt;&lt;Q&gt;R.2000^FG_PRICE(36550,36550)&lt;/Q&gt;&lt;R&gt;1&lt;/R&gt;&lt;C&gt;1&lt;/C&gt;&lt;D xsi:type="xsd:double"&gt;1298.058472&lt;/D&gt;&lt;/FQL&gt;&lt;FQL&gt;&lt;Q&gt;R.2000^FG_PRICE(36551,36551)&lt;/Q&gt;&lt;R&gt;1&lt;/R&gt;&lt;C&gt;1&lt;/C&gt;&lt;D xsi:type="xsd:double"&gt;1296.834717&lt;/D&gt;&lt;/FQL&gt;&lt;FQL&gt;&lt;Q&gt;R.2000^FG_PRICE(36552,36552)&lt;/Q&gt;&lt;R&gt;1&lt;/R&gt;&lt;C&gt;1&lt;/C&gt;&lt;D xsi:type="xsd:double"&gt;1286.643677&lt;/D&gt;&lt;/FQL&gt;&lt;FQL&gt;&lt;Q&gt;R.2000^FG_PRICE(36553,36553)&lt;/Q&gt;&lt;R&gt;1&lt;/R&gt;&lt;C&gt;1&lt;/C&gt;&lt;D xsi:type="xsd:double"&gt;1255.80957&lt;/D&gt;&lt;/FQL&gt;&lt;FQL&gt;&lt;Q&gt;R.2000^FG_PRICE(36556,36556)&lt;/Q&gt;&lt;R&gt;1&lt;/R&gt;&lt;C&gt;1&lt;/C&gt;&lt;D xsi:type="xsd:double"&gt;1235.055542&lt;/D&gt;&lt;/FQL&gt;&lt;FQL&gt;&lt;Q&gt;R.2000^FG_PRICE(36557,36557)&lt;/Q&gt;&lt;R&gt;1&lt;/R&gt;&lt;C&gt;1&lt;/C&gt;&lt;D xsi:type="xsd:double"&gt;1253.829224&lt;/D&gt;&lt;/FQL&gt;&lt;FQL&gt;&lt;Q&gt;^RUT^FG_PRICE(36528,36528)&lt;/Q&gt;&lt;R&gt;1&lt;/R&gt;&lt;C&gt;1&lt;/C&gt;&lt;D xsi:type="xsd:string"&gt;#NUM&lt;/D&gt;&lt;/FQL&gt;&lt;FQL&gt;&lt;Q&gt;RUT-US^FG_PRICE(36528,36528)&lt;/Q&gt;&lt;R&gt;0&lt;/R&gt;&lt;C&gt;0&lt;/C&gt;&lt;/FQL&gt;&lt;/Schema&gt;</t>
        </r>
      </text>
    </comment>
  </commentList>
</comments>
</file>

<file path=xl/sharedStrings.xml><?xml version="1.0" encoding="utf-8"?>
<sst xmlns="http://schemas.openxmlformats.org/spreadsheetml/2006/main" count="105" uniqueCount="65">
  <si>
    <t>Date</t>
  </si>
  <si>
    <t>Mkt-RF</t>
  </si>
  <si>
    <t>SMB</t>
  </si>
  <si>
    <t>HML</t>
  </si>
  <si>
    <t>Symbol</t>
  </si>
  <si>
    <t>Close</t>
  </si>
  <si>
    <t>AAPL</t>
  </si>
  <si>
    <t>MSFT</t>
  </si>
  <si>
    <t>IBM</t>
  </si>
  <si>
    <t>SE</t>
  </si>
  <si>
    <t>B0</t>
  </si>
  <si>
    <t>B1</t>
  </si>
  <si>
    <t>B2</t>
  </si>
  <si>
    <t>B3</t>
  </si>
  <si>
    <t>Stock</t>
  </si>
  <si>
    <t>t-stat</t>
  </si>
  <si>
    <t>Risk Model</t>
  </si>
  <si>
    <t>Estimating Covariances via Linear Factor Model</t>
  </si>
  <si>
    <t>B=</t>
  </si>
  <si>
    <t>Notice that B does not include B0 !</t>
  </si>
  <si>
    <t>Stock:</t>
  </si>
  <si>
    <t>LnReturn</t>
  </si>
  <si>
    <t>R2/seY</t>
  </si>
  <si>
    <t>Est. Beta</t>
  </si>
  <si>
    <t>SSReg/SSResid</t>
  </si>
  <si>
    <t>F/df</t>
  </si>
  <si>
    <t>Regression Results</t>
  </si>
  <si>
    <t>Days=</t>
  </si>
  <si>
    <t>Regression Parameter Table</t>
  </si>
  <si>
    <t>RLK</t>
  </si>
  <si>
    <t>XYZ</t>
  </si>
  <si>
    <t>VarY</t>
  </si>
  <si>
    <r>
      <t>B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=</t>
    </r>
  </si>
  <si>
    <t>CovF =</t>
  </si>
  <si>
    <t>idioC =</t>
  </si>
  <si>
    <t>Don’t forget to scale from daily to annual by multiplying by 250</t>
  </si>
  <si>
    <t>This sheet contains FactSet XML data for use with this workbook's =FDS codes.  Modifying the worksheet's contents may damage the workbook's =FDS functionality.</t>
  </si>
  <si>
    <t>Fama-French Factors as decimals (e.g., 0.10 = 10%)</t>
  </si>
  <si>
    <t>Stock Number:</t>
  </si>
  <si>
    <t>RF</t>
  </si>
  <si>
    <t>Fama-French Factors in decimals (e.g., 0.10 = 10%)</t>
  </si>
  <si>
    <t>(Mkt-RF)*</t>
  </si>
  <si>
    <t>SMB*</t>
  </si>
  <si>
    <t>HML*</t>
  </si>
  <si>
    <t>MORE ---&gt;&gt;&gt;</t>
  </si>
  <si>
    <t>F1</t>
  </si>
  <si>
    <t>F2</t>
  </si>
  <si>
    <t>F3</t>
  </si>
  <si>
    <t>Factor Covariance Matrix</t>
  </si>
  <si>
    <t>5 x 5</t>
  </si>
  <si>
    <t>Reg:</t>
  </si>
  <si>
    <t>Stock Data</t>
  </si>
  <si>
    <t>Regression Data Required for Risk Model</t>
  </si>
  <si>
    <t>&lt;&lt;&lt;--- Select Stock Here</t>
  </si>
  <si>
    <t>Daily Cov =</t>
  </si>
  <si>
    <t>Annualized Cov =</t>
  </si>
  <si>
    <t>3 x 5</t>
  </si>
  <si>
    <t>Risk Model Derivation Example (k=3 Factors n=5 Stocks)</t>
  </si>
  <si>
    <t>5 x 3</t>
  </si>
  <si>
    <t>3 x 3</t>
  </si>
  <si>
    <t>(5x3) x (3x3) x (3x5)</t>
  </si>
  <si>
    <t xml:space="preserve"> 5 x 5</t>
  </si>
  <si>
    <t>LnReturn-Rf</t>
  </si>
  <si>
    <t>LnReturn-Rf*</t>
  </si>
  <si>
    <r>
      <t>B</t>
    </r>
    <r>
      <rPr>
        <vertAlign val="superscript"/>
        <sz val="11"/>
        <color theme="1"/>
        <rFont val="Calibri"/>
        <family val="2"/>
        <scheme val="minor"/>
      </rPr>
      <t xml:space="preserve">T </t>
    </r>
    <r>
      <rPr>
        <sz val="11"/>
        <color theme="1"/>
        <rFont val="Calibri"/>
        <family val="2"/>
        <scheme val="minor"/>
      </rPr>
      <t>* CovF * B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</si>
</sst>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1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0066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66FF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1" fillId="0" borderId="0" xfId="0" applyFont="1"/>
    <xf numFmtId="0" fontId="3" fillId="0" borderId="0" xfId="0" applyFont="1"/>
    <xf numFmtId="0" fontId="2" fillId="0" borderId="9" xfId="0" quotePrefix="1" applyFont="1" applyBorder="1" applyAlignment="1">
      <alignment horizontal="left"/>
    </xf>
    <xf numFmtId="0" fontId="3" fillId="0" borderId="9" xfId="0" applyFont="1" applyBorder="1"/>
    <xf numFmtId="0" fontId="2" fillId="0" borderId="0" xfId="0" quotePrefix="1" applyFont="1" applyAlignment="1">
      <alignment horizontal="left"/>
    </xf>
    <xf numFmtId="0" fontId="2" fillId="0" borderId="9" xfId="0" applyFont="1" applyBorder="1"/>
    <xf numFmtId="0" fontId="3" fillId="0" borderId="1" xfId="0" applyFont="1" applyBorder="1" applyAlignment="1">
      <alignment horizontal="right"/>
    </xf>
    <xf numFmtId="0" fontId="3" fillId="0" borderId="2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3" fillId="0" borderId="6" xfId="0" applyFont="1" applyBorder="1" applyAlignment="1">
      <alignment horizontal="right"/>
    </xf>
    <xf numFmtId="0" fontId="7" fillId="0" borderId="6" xfId="0" applyFont="1" applyFill="1" applyBorder="1" applyAlignment="1">
      <alignment horizontal="right"/>
    </xf>
    <xf numFmtId="0" fontId="7" fillId="0" borderId="7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4" fontId="3" fillId="0" borderId="0" xfId="0" applyNumberFormat="1" applyFont="1"/>
    <xf numFmtId="0" fontId="3" fillId="0" borderId="0" xfId="0" quotePrefix="1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Font="1"/>
    <xf numFmtId="0" fontId="10" fillId="0" borderId="0" xfId="0" applyFont="1"/>
    <xf numFmtId="0" fontId="12" fillId="0" borderId="0" xfId="0" applyFont="1"/>
    <xf numFmtId="0" fontId="10" fillId="0" borderId="0" xfId="0" quotePrefix="1" applyFont="1" applyAlignment="1">
      <alignment horizontal="left"/>
    </xf>
    <xf numFmtId="0" fontId="10" fillId="0" borderId="12" xfId="0" applyFont="1" applyBorder="1"/>
    <xf numFmtId="0" fontId="10" fillId="0" borderId="18" xfId="0" applyFont="1" applyBorder="1"/>
    <xf numFmtId="0" fontId="10" fillId="0" borderId="13" xfId="0" applyFont="1" applyBorder="1"/>
    <xf numFmtId="0" fontId="10" fillId="0" borderId="14" xfId="0" applyFont="1" applyBorder="1"/>
    <xf numFmtId="0" fontId="10" fillId="0" borderId="0" xfId="0" applyFont="1" applyBorder="1"/>
    <xf numFmtId="0" fontId="10" fillId="0" borderId="15" xfId="0" applyFont="1" applyBorder="1"/>
    <xf numFmtId="0" fontId="10" fillId="0" borderId="16" xfId="0" applyFont="1" applyBorder="1"/>
    <xf numFmtId="0" fontId="10" fillId="0" borderId="9" xfId="0" applyFont="1" applyBorder="1"/>
    <xf numFmtId="0" fontId="10" fillId="0" borderId="17" xfId="0" applyFont="1" applyBorder="1"/>
    <xf numFmtId="0" fontId="13" fillId="0" borderId="0" xfId="0" quotePrefix="1" applyFont="1" applyAlignment="1">
      <alignment horizontal="left"/>
    </xf>
    <xf numFmtId="0" fontId="10" fillId="0" borderId="1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5" xfId="0" applyFont="1" applyBorder="1"/>
    <xf numFmtId="0" fontId="10" fillId="0" borderId="6" xfId="0" applyFont="1" applyBorder="1"/>
    <xf numFmtId="0" fontId="10" fillId="0" borderId="7" xfId="0" applyFont="1" applyBorder="1"/>
    <xf numFmtId="0" fontId="10" fillId="0" borderId="8" xfId="0" applyFont="1" applyBorder="1"/>
    <xf numFmtId="0" fontId="12" fillId="3" borderId="10" xfId="0" applyFont="1" applyFill="1" applyBorder="1"/>
    <xf numFmtId="0" fontId="13" fillId="3" borderId="11" xfId="0" applyFont="1" applyFill="1" applyBorder="1"/>
    <xf numFmtId="0" fontId="10" fillId="0" borderId="0" xfId="0" quotePrefix="1" applyFont="1" applyBorder="1" applyAlignment="1">
      <alignment horizontal="left"/>
    </xf>
    <xf numFmtId="0" fontId="10" fillId="0" borderId="7" xfId="0" applyFont="1" applyFill="1" applyBorder="1"/>
    <xf numFmtId="0" fontId="3" fillId="0" borderId="0" xfId="0" applyFont="1" applyAlignment="1">
      <alignment horizontal="right"/>
    </xf>
    <xf numFmtId="0" fontId="0" fillId="0" borderId="0" xfId="0" applyFont="1" applyAlignment="1">
      <alignment horizontal="right"/>
    </xf>
    <xf numFmtId="0" fontId="2" fillId="0" borderId="1" xfId="0" quotePrefix="1" applyFont="1" applyBorder="1" applyAlignment="1">
      <alignment horizontal="left"/>
    </xf>
    <xf numFmtId="0" fontId="2" fillId="0" borderId="6" xfId="0" quotePrefix="1" applyFont="1" applyBorder="1" applyAlignment="1">
      <alignment horizontal="left"/>
    </xf>
    <xf numFmtId="0" fontId="14" fillId="0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2" borderId="19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right"/>
    </xf>
    <xf numFmtId="2" fontId="3" fillId="0" borderId="0" xfId="0" applyNumberFormat="1" applyFont="1"/>
    <xf numFmtId="164" fontId="6" fillId="0" borderId="0" xfId="0" quotePrefix="1" applyNumberFormat="1" applyFont="1" applyAlignment="1">
      <alignment horizontal="right"/>
    </xf>
    <xf numFmtId="164" fontId="3" fillId="0" borderId="0" xfId="0" applyNumberFormat="1" applyFont="1"/>
    <xf numFmtId="0" fontId="1" fillId="0" borderId="0" xfId="0" applyFont="1" applyAlignment="1">
      <alignment horizontal="right"/>
    </xf>
    <xf numFmtId="164" fontId="2" fillId="0" borderId="9" xfId="0" applyNumberFormat="1" applyFont="1" applyBorder="1"/>
    <xf numFmtId="164" fontId="3" fillId="0" borderId="9" xfId="0" applyNumberFormat="1" applyFont="1" applyBorder="1"/>
    <xf numFmtId="164" fontId="1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right"/>
    </xf>
    <xf numFmtId="164" fontId="3" fillId="0" borderId="0" xfId="0" applyNumberFormat="1" applyFont="1" applyBorder="1"/>
    <xf numFmtId="164" fontId="15" fillId="0" borderId="0" xfId="0" quotePrefix="1" applyNumberFormat="1" applyFont="1" applyAlignment="1">
      <alignment horizontal="right"/>
    </xf>
    <xf numFmtId="0" fontId="11" fillId="0" borderId="0" xfId="0" quotePrefix="1" applyFont="1" applyAlignment="1">
      <alignment horizontal="left"/>
    </xf>
    <xf numFmtId="0" fontId="16" fillId="0" borderId="0" xfId="0" applyFont="1"/>
    <xf numFmtId="0" fontId="17" fillId="0" borderId="0" xfId="0" applyFont="1" applyAlignment="1">
      <alignment horizontal="center"/>
    </xf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16" fillId="0" borderId="0" xfId="0" quotePrefix="1" applyFont="1" applyAlignment="1">
      <alignment horizontal="left"/>
    </xf>
    <xf numFmtId="164" fontId="19" fillId="0" borderId="0" xfId="0" applyNumberFormat="1" applyFont="1"/>
    <xf numFmtId="0" fontId="3" fillId="0" borderId="0" xfId="0" applyNumberFormat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quotePrefix="1" applyFont="1" applyAlignment="1">
      <alignment horizontal="center"/>
    </xf>
    <xf numFmtId="0" fontId="0" fillId="0" borderId="0" xfId="0" quotePrefix="1" applyFont="1" applyAlignment="1">
      <alignment horizontal="left"/>
    </xf>
    <xf numFmtId="164" fontId="20" fillId="0" borderId="0" xfId="0" applyNumberFormat="1" applyFont="1"/>
    <xf numFmtId="0" fontId="0" fillId="0" borderId="0" xfId="0" applyFont="1" applyBorder="1"/>
    <xf numFmtId="0" fontId="3" fillId="0" borderId="0" xfId="0" applyFont="1" applyBorder="1"/>
    <xf numFmtId="0" fontId="4" fillId="0" borderId="0" xfId="0" quotePrefix="1" applyFont="1" applyAlignment="1">
      <alignment horizontal="left"/>
    </xf>
    <xf numFmtId="0" fontId="3" fillId="4" borderId="0" xfId="0" applyFont="1" applyFill="1"/>
    <xf numFmtId="0" fontId="10" fillId="0" borderId="0" xfId="0" applyNumberFormat="1" applyFont="1" applyFill="1" applyBorder="1"/>
    <xf numFmtId="0" fontId="14" fillId="0" borderId="0" xfId="0" applyNumberFormat="1" applyFont="1" applyFill="1" applyBorder="1"/>
    <xf numFmtId="0" fontId="14" fillId="0" borderId="12" xfId="0" applyNumberFormat="1" applyFont="1" applyFill="1" applyBorder="1"/>
    <xf numFmtId="0" fontId="14" fillId="0" borderId="18" xfId="0" applyNumberFormat="1" applyFont="1" applyFill="1" applyBorder="1"/>
    <xf numFmtId="0" fontId="14" fillId="0" borderId="13" xfId="0" applyNumberFormat="1" applyFont="1" applyFill="1" applyBorder="1"/>
    <xf numFmtId="0" fontId="14" fillId="0" borderId="14" xfId="0" applyNumberFormat="1" applyFont="1" applyFill="1" applyBorder="1"/>
    <xf numFmtId="0" fontId="14" fillId="0" borderId="15" xfId="0" applyNumberFormat="1" applyFont="1" applyFill="1" applyBorder="1"/>
    <xf numFmtId="0" fontId="14" fillId="0" borderId="16" xfId="0" applyNumberFormat="1" applyFont="1" applyFill="1" applyBorder="1"/>
    <xf numFmtId="0" fontId="14" fillId="0" borderId="9" xfId="0" applyNumberFormat="1" applyFont="1" applyFill="1" applyBorder="1"/>
    <xf numFmtId="0" fontId="14" fillId="0" borderId="17" xfId="0" applyNumberFormat="1" applyFont="1" applyFill="1" applyBorder="1"/>
    <xf numFmtId="0" fontId="10" fillId="0" borderId="1" xfId="0" applyNumberFormat="1" applyFont="1" applyFill="1" applyBorder="1"/>
    <xf numFmtId="0" fontId="10" fillId="0" borderId="2" xfId="0" applyNumberFormat="1" applyFont="1" applyFill="1" applyBorder="1"/>
    <xf numFmtId="0" fontId="10" fillId="0" borderId="3" xfId="0" applyNumberFormat="1" applyFont="1" applyFill="1" applyBorder="1"/>
    <xf numFmtId="0" fontId="10" fillId="0" borderId="4" xfId="0" applyNumberFormat="1" applyFont="1" applyFill="1" applyBorder="1"/>
    <xf numFmtId="0" fontId="10" fillId="0" borderId="5" xfId="0" applyNumberFormat="1" applyFont="1" applyFill="1" applyBorder="1"/>
    <xf numFmtId="0" fontId="10" fillId="0" borderId="6" xfId="0" applyNumberFormat="1" applyFont="1" applyFill="1" applyBorder="1"/>
    <xf numFmtId="0" fontId="10" fillId="0" borderId="7" xfId="0" applyNumberFormat="1" applyFont="1" applyFill="1" applyBorder="1"/>
    <xf numFmtId="0" fontId="10" fillId="0" borderId="8" xfId="0" applyNumberFormat="1" applyFont="1" applyFill="1" applyBorder="1"/>
    <xf numFmtId="0" fontId="2" fillId="0" borderId="0" xfId="0" applyFont="1"/>
    <xf numFmtId="164" fontId="1" fillId="0" borderId="0" xfId="0" quotePrefix="1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8CC36-E1CA-446A-B55C-48EB8E7D231F}">
  <sheetPr codeName="Sheet3"/>
  <dimension ref="A1:B1"/>
  <sheetViews>
    <sheetView workbookViewId="0"/>
  </sheetViews>
  <sheetFormatPr defaultRowHeight="14.5" x14ac:dyDescent="0.35"/>
  <sheetData>
    <row r="1" spans="1:2" x14ac:dyDescent="0.35">
      <c r="B1" t="s">
        <v>36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N516"/>
  <sheetViews>
    <sheetView topLeftCell="L1" workbookViewId="0">
      <selection activeCell="O6" sqref="O6"/>
    </sheetView>
  </sheetViews>
  <sheetFormatPr defaultColWidth="8.7265625" defaultRowHeight="14.5" x14ac:dyDescent="0.35"/>
  <cols>
    <col min="1" max="1" width="4" style="2" customWidth="1"/>
    <col min="2" max="2" width="14.54296875" style="2" customWidth="1"/>
    <col min="3" max="3" width="10.7265625" style="49" customWidth="1"/>
    <col min="4" max="4" width="8.7265625" style="2"/>
    <col min="5" max="5" width="9.7265625" style="2" customWidth="1"/>
    <col min="6" max="6" width="14.1796875" style="2" customWidth="1"/>
    <col min="7" max="7" width="14.54296875" style="2" customWidth="1"/>
    <col min="8" max="8" width="8.7265625" style="2"/>
    <col min="9" max="9" width="10.7265625" style="2" bestFit="1" customWidth="1"/>
    <col min="10" max="10" width="10.54296875" style="55" customWidth="1"/>
    <col min="11" max="13" width="9.54296875" style="55" customWidth="1"/>
    <col min="14" max="16" width="10.453125" style="55" customWidth="1"/>
    <col min="17" max="17" width="9.54296875" style="55" customWidth="1"/>
    <col min="18" max="18" width="15.1796875" style="2" customWidth="1"/>
    <col min="19" max="24" width="8.7265625" style="2"/>
    <col min="25" max="29" width="12.54296875" style="2" customWidth="1"/>
    <col min="30" max="34" width="8.7265625" style="2"/>
    <col min="35" max="35" width="10.7265625" style="2" bestFit="1" customWidth="1"/>
    <col min="36" max="16384" width="8.7265625" style="2"/>
  </cols>
  <sheetData>
    <row r="1" spans="2:40" ht="15.5" x14ac:dyDescent="0.35">
      <c r="B1" s="64" t="s">
        <v>16</v>
      </c>
      <c r="C1" s="65"/>
      <c r="D1" s="66"/>
      <c r="E1" s="66"/>
      <c r="F1" s="66"/>
      <c r="G1" s="66"/>
      <c r="H1" s="66"/>
      <c r="I1" s="66"/>
      <c r="J1" s="67"/>
    </row>
    <row r="2" spans="2:40" ht="16" thickBot="1" x14ac:dyDescent="0.4">
      <c r="B2" s="64" t="s">
        <v>17</v>
      </c>
      <c r="C2" s="65"/>
      <c r="D2" s="66"/>
      <c r="E2" s="66"/>
      <c r="F2" s="66"/>
      <c r="G2" s="66"/>
      <c r="H2" s="66"/>
      <c r="I2" s="68" t="s">
        <v>44</v>
      </c>
      <c r="J2" s="67"/>
      <c r="P2" s="68" t="s">
        <v>44</v>
      </c>
      <c r="X2" s="68" t="s">
        <v>44</v>
      </c>
    </row>
    <row r="3" spans="2:40" ht="16" thickBot="1" x14ac:dyDescent="0.4">
      <c r="B3" s="69" t="s">
        <v>37</v>
      </c>
      <c r="C3" s="65"/>
      <c r="D3" s="66"/>
      <c r="E3" s="66"/>
      <c r="F3" s="66"/>
      <c r="G3" s="66"/>
      <c r="H3" s="66"/>
      <c r="I3" s="66"/>
      <c r="J3" s="67"/>
      <c r="R3" s="46" t="s">
        <v>38</v>
      </c>
      <c r="S3" s="50">
        <v>1</v>
      </c>
      <c r="T3" s="79" t="s">
        <v>53</v>
      </c>
      <c r="AJ3" s="44"/>
      <c r="AK3" s="44"/>
      <c r="AL3" s="45"/>
      <c r="AM3" s="45"/>
      <c r="AN3" s="45"/>
    </row>
    <row r="4" spans="2:40" ht="15" thickBot="1" x14ac:dyDescent="0.4">
      <c r="N4" s="2"/>
      <c r="O4" s="2"/>
      <c r="P4" s="2"/>
      <c r="Q4" s="2"/>
      <c r="R4" s="47" t="s">
        <v>20</v>
      </c>
      <c r="S4" s="48" t="str">
        <f>CHOOSE(S3,AJ11,AK11,AL11,AM11,AN11)</f>
        <v>AAPL</v>
      </c>
      <c r="AJ4" s="44"/>
      <c r="AK4" s="44"/>
      <c r="AL4" s="45"/>
      <c r="AM4" s="45"/>
      <c r="AN4" s="45"/>
    </row>
    <row r="5" spans="2:40" x14ac:dyDescent="0.35">
      <c r="N5" s="2"/>
      <c r="O5" s="2"/>
      <c r="P5" s="2"/>
      <c r="Q5" s="2"/>
      <c r="AJ5" s="44"/>
      <c r="AK5" s="44"/>
      <c r="AL5" s="45"/>
      <c r="AM5" s="45"/>
      <c r="AN5" s="45"/>
    </row>
    <row r="6" spans="2:40" x14ac:dyDescent="0.35">
      <c r="N6" s="2"/>
      <c r="O6" s="2"/>
      <c r="P6" s="2"/>
      <c r="Q6" s="2"/>
      <c r="X6" s="6" t="s">
        <v>52</v>
      </c>
      <c r="Y6" s="6"/>
      <c r="Z6" s="6"/>
      <c r="AA6" s="6"/>
      <c r="AB6" s="6"/>
      <c r="AC6" s="6"/>
      <c r="AJ6" s="44"/>
      <c r="AK6" s="44"/>
      <c r="AL6" s="45"/>
      <c r="AM6" s="45"/>
      <c r="AN6" s="45"/>
    </row>
    <row r="7" spans="2:40" x14ac:dyDescent="0.35">
      <c r="J7" s="2"/>
      <c r="K7" s="2"/>
      <c r="L7" s="2"/>
      <c r="N7" s="2"/>
      <c r="O7" s="2"/>
      <c r="P7" s="2"/>
      <c r="Q7" s="2"/>
      <c r="Y7" s="56" t="s">
        <v>10</v>
      </c>
      <c r="Z7" s="56" t="s">
        <v>11</v>
      </c>
      <c r="AA7" s="56" t="s">
        <v>12</v>
      </c>
      <c r="AB7" s="56" t="s">
        <v>13</v>
      </c>
      <c r="AC7" s="56" t="s">
        <v>31</v>
      </c>
      <c r="AJ7" s="44"/>
      <c r="AK7" s="44"/>
      <c r="AL7" s="45"/>
      <c r="AM7" s="45"/>
      <c r="AN7" s="45"/>
    </row>
    <row r="8" spans="2:40" x14ac:dyDescent="0.35">
      <c r="C8" s="2"/>
      <c r="K8" s="2"/>
      <c r="L8" s="2"/>
      <c r="N8" s="2"/>
      <c r="O8" s="2"/>
      <c r="P8" s="2"/>
      <c r="Q8" s="2"/>
      <c r="X8" s="77" t="s">
        <v>50</v>
      </c>
      <c r="Y8" s="78">
        <f>V12</f>
        <v>1.3320631596794687E-18</v>
      </c>
      <c r="Z8" s="78">
        <f>U12</f>
        <v>0.79194963210388081</v>
      </c>
      <c r="AA8" s="78">
        <f>T12</f>
        <v>-0.26488065693368934</v>
      </c>
      <c r="AB8" s="78">
        <f>S12</f>
        <v>-0.76745917842725586</v>
      </c>
      <c r="AC8" s="78">
        <f>T14^2</f>
        <v>1.6171118421295458E-4</v>
      </c>
    </row>
    <row r="9" spans="2:40" ht="15" thickBot="1" x14ac:dyDescent="0.4">
      <c r="B9" s="3" t="s">
        <v>51</v>
      </c>
      <c r="C9" s="57"/>
      <c r="D9" s="58"/>
      <c r="E9" s="58"/>
      <c r="F9" s="58"/>
      <c r="G9" s="58"/>
      <c r="I9" s="3" t="s">
        <v>40</v>
      </c>
      <c r="J9" s="57"/>
      <c r="K9" s="58"/>
      <c r="L9" s="58"/>
      <c r="M9" s="58"/>
      <c r="N9" s="58"/>
      <c r="O9" s="58"/>
      <c r="P9" s="58"/>
      <c r="AJ9" s="2">
        <v>1</v>
      </c>
      <c r="AK9" s="2">
        <v>2</v>
      </c>
      <c r="AL9" s="2">
        <v>3</v>
      </c>
      <c r="AM9" s="18">
        <v>4</v>
      </c>
      <c r="AN9" s="2">
        <v>5</v>
      </c>
    </row>
    <row r="10" spans="2:40" x14ac:dyDescent="0.35">
      <c r="E10" s="76">
        <f>AVERAGE(E12:E514)</f>
        <v>1.3149898428830771E-3</v>
      </c>
      <c r="F10" s="76">
        <f>AVERAGE(F12:F514)</f>
        <v>1.3149898428830771E-3</v>
      </c>
      <c r="G10" s="76">
        <f>AVERAGE(G12:G514)</f>
        <v>7.9666227226767877E-19</v>
      </c>
      <c r="J10" s="76">
        <f t="shared" ref="J10:P10" si="0">AVERAGE(J12:J514)</f>
        <v>5.0914512922465259E-4</v>
      </c>
      <c r="K10" s="76">
        <f t="shared" si="0"/>
        <v>-9.165009940357831E-5</v>
      </c>
      <c r="L10" s="76">
        <f t="shared" si="0"/>
        <v>-2.9840954274353883E-4</v>
      </c>
      <c r="M10" s="76">
        <f t="shared" si="0"/>
        <v>0</v>
      </c>
      <c r="N10" s="76">
        <f t="shared" si="0"/>
        <v>-6.0698077887061247E-19</v>
      </c>
      <c r="O10" s="76">
        <f t="shared" si="0"/>
        <v>-2.4313718699078511E-19</v>
      </c>
      <c r="P10" s="76">
        <f t="shared" si="0"/>
        <v>1.5519394914305432E-19</v>
      </c>
      <c r="Q10" s="61"/>
      <c r="R10" s="6" t="s">
        <v>26</v>
      </c>
      <c r="S10" s="4"/>
      <c r="T10" s="4"/>
      <c r="U10" s="4"/>
      <c r="V10" s="4"/>
      <c r="X10" s="3" t="s">
        <v>28</v>
      </c>
      <c r="Y10" s="4"/>
      <c r="Z10" s="4"/>
      <c r="AA10" s="4"/>
      <c r="AB10" s="4"/>
      <c r="AC10" s="4"/>
      <c r="AI10" s="7"/>
      <c r="AJ10" s="7"/>
      <c r="AK10" s="8"/>
      <c r="AL10" s="8"/>
      <c r="AM10" s="8"/>
      <c r="AN10" s="9"/>
    </row>
    <row r="11" spans="2:40" ht="15" thickBot="1" x14ac:dyDescent="0.4">
      <c r="B11" s="10" t="s">
        <v>0</v>
      </c>
      <c r="C11" s="51" t="s">
        <v>4</v>
      </c>
      <c r="D11" s="52" t="s">
        <v>5</v>
      </c>
      <c r="E11" s="54" t="s">
        <v>21</v>
      </c>
      <c r="F11" s="100" t="s">
        <v>62</v>
      </c>
      <c r="G11" s="62" t="s">
        <v>63</v>
      </c>
      <c r="H11" s="52"/>
      <c r="I11" s="10" t="s">
        <v>0</v>
      </c>
      <c r="J11" s="59" t="s">
        <v>1</v>
      </c>
      <c r="K11" s="60" t="s">
        <v>2</v>
      </c>
      <c r="L11" s="60" t="s">
        <v>3</v>
      </c>
      <c r="M11" s="60" t="s">
        <v>39</v>
      </c>
      <c r="N11" s="62" t="s">
        <v>41</v>
      </c>
      <c r="O11" s="62" t="s">
        <v>42</v>
      </c>
      <c r="P11" s="62" t="s">
        <v>43</v>
      </c>
      <c r="Q11" s="60"/>
      <c r="S11" s="10" t="s">
        <v>13</v>
      </c>
      <c r="T11" s="10" t="s">
        <v>12</v>
      </c>
      <c r="U11" s="10" t="s">
        <v>11</v>
      </c>
      <c r="V11" s="10" t="s">
        <v>10</v>
      </c>
      <c r="X11" s="1" t="s">
        <v>14</v>
      </c>
      <c r="Y11" s="56" t="s">
        <v>10</v>
      </c>
      <c r="Z11" s="56" t="s">
        <v>11</v>
      </c>
      <c r="AA11" s="56" t="s">
        <v>12</v>
      </c>
      <c r="AB11" s="56" t="s">
        <v>13</v>
      </c>
      <c r="AC11" s="56" t="s">
        <v>31</v>
      </c>
      <c r="AI11" s="11" t="s">
        <v>0</v>
      </c>
      <c r="AJ11" s="12" t="s">
        <v>6</v>
      </c>
      <c r="AK11" s="13" t="s">
        <v>7</v>
      </c>
      <c r="AL11" s="14" t="s">
        <v>8</v>
      </c>
      <c r="AM11" s="13" t="s">
        <v>29</v>
      </c>
      <c r="AN11" s="14" t="s">
        <v>30</v>
      </c>
    </row>
    <row r="12" spans="2:40" x14ac:dyDescent="0.35">
      <c r="B12" s="15">
        <v>42216</v>
      </c>
      <c r="C12" s="49" t="str">
        <f>$S$4</f>
        <v>AAPL</v>
      </c>
      <c r="D12" s="53">
        <f>CHOOSE($S$3,AJ12,AK12,AL12,AM12,AN12)</f>
        <v>120.75</v>
      </c>
      <c r="E12" s="55">
        <f t="shared" ref="E12:E75" si="1">LN(D12/D13)</f>
        <v>-8.8222528756564528E-3</v>
      </c>
      <c r="F12" s="55">
        <f>E12-M12</f>
        <v>-8.8222528756564528E-3</v>
      </c>
      <c r="G12" s="70">
        <f>F12-$F$10</f>
        <v>-1.0137242718539529E-2</v>
      </c>
      <c r="H12" s="53"/>
      <c r="I12" s="15">
        <v>42216</v>
      </c>
      <c r="J12" s="55">
        <v>-1.5E-3</v>
      </c>
      <c r="K12" s="55">
        <v>8.199999999999999E-3</v>
      </c>
      <c r="L12" s="55">
        <v>-9.8999999999999991E-3</v>
      </c>
      <c r="M12" s="55">
        <v>0</v>
      </c>
      <c r="N12" s="70">
        <f>J12-J$10</f>
        <v>-2.0091451292246526E-3</v>
      </c>
      <c r="O12" s="70">
        <f t="shared" ref="O12:O75" si="2">K12-K$10</f>
        <v>8.2916500994035768E-3</v>
      </c>
      <c r="P12" s="70">
        <f t="shared" ref="P12:P75" si="3">L12-L$10</f>
        <v>-9.6015904572564603E-3</v>
      </c>
      <c r="R12" s="16" t="s">
        <v>23</v>
      </c>
      <c r="S12" s="2">
        <f t="array" ref="S12:V16">LINEST($G$12:$G$514,N12:P514,TRUE,TRUE)</f>
        <v>-0.76745917842725586</v>
      </c>
      <c r="T12" s="2">
        <v>-0.26488065693368934</v>
      </c>
      <c r="U12" s="2">
        <v>0.79194963210388081</v>
      </c>
      <c r="V12" s="2">
        <v>1.3320631596794687E-18</v>
      </c>
      <c r="X12" s="2" t="s">
        <v>6</v>
      </c>
      <c r="Y12" s="2">
        <v>1.3320631596794687E-18</v>
      </c>
      <c r="Z12" s="2">
        <v>0.79194963210388081</v>
      </c>
      <c r="AA12" s="2">
        <v>-0.26488065693368934</v>
      </c>
      <c r="AB12" s="2">
        <v>-0.76745917842725586</v>
      </c>
      <c r="AC12" s="2">
        <v>1.6171118421295458E-4</v>
      </c>
      <c r="AI12" s="15">
        <v>42216</v>
      </c>
      <c r="AJ12" s="2">
        <v>120.75</v>
      </c>
      <c r="AK12" s="2">
        <v>46.39</v>
      </c>
      <c r="AL12" s="2">
        <v>160.66</v>
      </c>
      <c r="AM12" s="18">
        <v>100</v>
      </c>
      <c r="AN12" s="18">
        <v>50</v>
      </c>
    </row>
    <row r="13" spans="2:40" x14ac:dyDescent="0.35">
      <c r="B13" s="15">
        <v>42215</v>
      </c>
      <c r="C13" s="49" t="str">
        <f>$S$4</f>
        <v>AAPL</v>
      </c>
      <c r="D13" s="53">
        <f>CHOOSE($S$3,AJ13,AK13,AL13,AM13,AN13)</f>
        <v>121.82</v>
      </c>
      <c r="E13" s="55">
        <f t="shared" si="1"/>
        <v>-5.0765686688732086E-3</v>
      </c>
      <c r="F13" s="55">
        <f t="shared" ref="F13:F76" si="4">E13-M13</f>
        <v>-5.0765686688732086E-3</v>
      </c>
      <c r="G13" s="70">
        <f t="shared" ref="G13:G76" si="5">F13-$F$10</f>
        <v>-6.3915585117562852E-3</v>
      </c>
      <c r="H13" s="53"/>
      <c r="I13" s="15">
        <v>42215</v>
      </c>
      <c r="J13" s="55">
        <v>1.1999999999999999E-3</v>
      </c>
      <c r="K13" s="55">
        <v>1.7000000000000001E-3</v>
      </c>
      <c r="L13" s="55">
        <v>-2.5999999999999999E-3</v>
      </c>
      <c r="M13" s="55">
        <v>0</v>
      </c>
      <c r="N13" s="70">
        <f t="shared" ref="N13:N76" si="6">J13-J$10</f>
        <v>6.908548707753473E-4</v>
      </c>
      <c r="O13" s="70">
        <f t="shared" si="2"/>
        <v>1.7916500994035784E-3</v>
      </c>
      <c r="P13" s="70">
        <f t="shared" si="3"/>
        <v>-2.3015904572564611E-3</v>
      </c>
      <c r="R13" s="2" t="s">
        <v>9</v>
      </c>
      <c r="S13" s="2">
        <v>0.16470986343374325</v>
      </c>
      <c r="T13" s="2">
        <v>0.12513868749651155</v>
      </c>
      <c r="U13" s="2">
        <v>8.0234948661430897E-2</v>
      </c>
      <c r="V13" s="2">
        <v>5.6700388709253209E-4</v>
      </c>
      <c r="X13" s="2" t="s">
        <v>7</v>
      </c>
      <c r="Y13" s="2">
        <v>7.5917128730416257E-20</v>
      </c>
      <c r="Z13" s="2">
        <v>1.0866552340988969</v>
      </c>
      <c r="AA13" s="2">
        <v>-0.49151104252674765</v>
      </c>
      <c r="AB13" s="2">
        <v>-0.26473599116616864</v>
      </c>
      <c r="AC13" s="2">
        <v>1.4519794436994117E-4</v>
      </c>
      <c r="AI13" s="15">
        <v>42215</v>
      </c>
      <c r="AJ13" s="2">
        <v>121.82</v>
      </c>
      <c r="AK13" s="2">
        <v>46.57</v>
      </c>
      <c r="AL13" s="2">
        <v>159.63</v>
      </c>
      <c r="AM13" s="2">
        <v>100.12251146216475</v>
      </c>
      <c r="AN13" s="2">
        <v>49.936727304567945</v>
      </c>
    </row>
    <row r="14" spans="2:40" x14ac:dyDescent="0.35">
      <c r="B14" s="15">
        <v>42214</v>
      </c>
      <c r="C14" s="49" t="str">
        <f>$S$4</f>
        <v>AAPL</v>
      </c>
      <c r="D14" s="53">
        <f>CHOOSE($S$3,AJ14,AK14,AL14,AM14,AN14)</f>
        <v>122.44</v>
      </c>
      <c r="E14" s="55">
        <f t="shared" si="1"/>
        <v>-3.0987548240413404E-3</v>
      </c>
      <c r="F14" s="55">
        <f t="shared" si="4"/>
        <v>-3.0987548240413404E-3</v>
      </c>
      <c r="G14" s="70">
        <f t="shared" si="5"/>
        <v>-4.4137446669244174E-3</v>
      </c>
      <c r="H14" s="53"/>
      <c r="I14" s="15">
        <v>42214</v>
      </c>
      <c r="J14" s="55">
        <v>7.4000000000000003E-3</v>
      </c>
      <c r="K14" s="55">
        <v>-3.5999999999999999E-3</v>
      </c>
      <c r="L14" s="55">
        <v>5.1999999999999998E-3</v>
      </c>
      <c r="M14" s="55">
        <v>0</v>
      </c>
      <c r="N14" s="70">
        <f t="shared" si="6"/>
        <v>6.8908548707753477E-3</v>
      </c>
      <c r="O14" s="70">
        <f t="shared" si="2"/>
        <v>-3.5083499005964217E-3</v>
      </c>
      <c r="P14" s="70">
        <f t="shared" si="3"/>
        <v>5.4984095427435386E-3</v>
      </c>
      <c r="R14" s="16" t="s">
        <v>22</v>
      </c>
      <c r="S14" s="2">
        <v>0.21197695668366393</v>
      </c>
      <c r="T14" s="2">
        <v>1.271657124436279E-2</v>
      </c>
      <c r="U14" s="2" t="e">
        <v>#N/A</v>
      </c>
      <c r="V14" s="2" t="e">
        <v>#N/A</v>
      </c>
      <c r="X14" s="2" t="s">
        <v>8</v>
      </c>
      <c r="Y14" s="2">
        <v>5.5165711418440928E-19</v>
      </c>
      <c r="Z14" s="2">
        <v>0.85151838468867269</v>
      </c>
      <c r="AA14" s="2">
        <v>-0.25420455212991727</v>
      </c>
      <c r="AB14" s="2">
        <v>-8.9167750516926547E-2</v>
      </c>
      <c r="AC14" s="2">
        <v>9.4615101380801108E-5</v>
      </c>
      <c r="AI14" s="15">
        <v>42214</v>
      </c>
      <c r="AJ14" s="2">
        <v>122.44</v>
      </c>
      <c r="AK14" s="2">
        <v>45.99</v>
      </c>
      <c r="AL14" s="2">
        <v>159.76</v>
      </c>
      <c r="AM14" s="2">
        <v>100.41806608428521</v>
      </c>
      <c r="AN14" s="2">
        <v>49.646095888612116</v>
      </c>
    </row>
    <row r="15" spans="2:40" x14ac:dyDescent="0.35">
      <c r="B15" s="15">
        <v>42213</v>
      </c>
      <c r="C15" s="49" t="str">
        <f>$S$4</f>
        <v>AAPL</v>
      </c>
      <c r="D15" s="53">
        <f>CHOOSE($S$3,AJ15,AK15,AL15,AM15,AN15)</f>
        <v>122.82</v>
      </c>
      <c r="E15" s="55">
        <f t="shared" si="1"/>
        <v>4.8971694344836928E-3</v>
      </c>
      <c r="F15" s="55">
        <f t="shared" si="4"/>
        <v>4.8971694344836928E-3</v>
      </c>
      <c r="G15" s="70">
        <f t="shared" si="5"/>
        <v>3.5821795916006157E-3</v>
      </c>
      <c r="H15" s="53"/>
      <c r="I15" s="15">
        <v>42213</v>
      </c>
      <c r="J15" s="55">
        <v>1.23E-2</v>
      </c>
      <c r="K15" s="55">
        <v>-3.4000000000000002E-3</v>
      </c>
      <c r="L15" s="55">
        <v>-1.1000000000000001E-3</v>
      </c>
      <c r="M15" s="55">
        <v>0</v>
      </c>
      <c r="N15" s="70">
        <f t="shared" si="6"/>
        <v>1.1790854870775348E-2</v>
      </c>
      <c r="O15" s="70">
        <f t="shared" si="2"/>
        <v>-3.308349900596422E-3</v>
      </c>
      <c r="P15" s="70">
        <f t="shared" si="3"/>
        <v>-8.0159045725646124E-4</v>
      </c>
      <c r="R15" s="16" t="s">
        <v>25</v>
      </c>
      <c r="S15" s="2">
        <v>44.743404516021855</v>
      </c>
      <c r="T15" s="2">
        <v>499</v>
      </c>
      <c r="U15" s="2" t="e">
        <v>#N/A</v>
      </c>
      <c r="V15" s="2" t="e">
        <v>#N/A</v>
      </c>
      <c r="X15" s="18" t="s">
        <v>29</v>
      </c>
      <c r="Y15" s="2">
        <v>8.1384418814029337E-19</v>
      </c>
      <c r="Z15" s="2">
        <v>0.82084700499090668</v>
      </c>
      <c r="AA15" s="2">
        <v>-0.25854893960200948</v>
      </c>
      <c r="AB15" s="2">
        <v>-0.42757092308805944</v>
      </c>
      <c r="AC15" s="2">
        <v>6.4140435486208786E-5</v>
      </c>
      <c r="AI15" s="15">
        <v>42213</v>
      </c>
      <c r="AJ15" s="2">
        <v>122.82</v>
      </c>
      <c r="AK15" s="2">
        <v>45.04</v>
      </c>
      <c r="AL15" s="2">
        <v>158.72999999999999</v>
      </c>
      <c r="AM15" s="2">
        <v>100.25018666793441</v>
      </c>
      <c r="AN15" s="2">
        <v>48.973296086766133</v>
      </c>
    </row>
    <row r="16" spans="2:40" x14ac:dyDescent="0.35">
      <c r="B16" s="15">
        <v>42212</v>
      </c>
      <c r="C16" s="49" t="str">
        <f>$S$4</f>
        <v>AAPL</v>
      </c>
      <c r="D16" s="53">
        <f>CHOOSE($S$3,AJ16,AK16,AL16,AM16,AN16)</f>
        <v>122.22</v>
      </c>
      <c r="E16" s="55">
        <f t="shared" si="1"/>
        <v>-1.3974878067191936E-2</v>
      </c>
      <c r="F16" s="55">
        <f t="shared" si="4"/>
        <v>-1.3974878067191936E-2</v>
      </c>
      <c r="G16" s="70">
        <f t="shared" si="5"/>
        <v>-1.5289867910075012E-2</v>
      </c>
      <c r="H16" s="53"/>
      <c r="I16" s="15">
        <v>42212</v>
      </c>
      <c r="J16" s="55">
        <v>-7.4000000000000003E-3</v>
      </c>
      <c r="K16" s="55">
        <v>-2.5000000000000001E-3</v>
      </c>
      <c r="L16" s="55">
        <v>8.0000000000000004E-4</v>
      </c>
      <c r="M16" s="55">
        <v>0</v>
      </c>
      <c r="N16" s="70">
        <f t="shared" si="6"/>
        <v>-7.9091451292246529E-3</v>
      </c>
      <c r="O16" s="70">
        <f t="shared" si="2"/>
        <v>-2.4083499005964218E-3</v>
      </c>
      <c r="P16" s="70">
        <f t="shared" si="3"/>
        <v>1.0984095427435388E-3</v>
      </c>
      <c r="R16" s="17" t="s">
        <v>24</v>
      </c>
      <c r="S16" s="2">
        <v>2.170652679001546E-2</v>
      </c>
      <c r="T16" s="2">
        <v>8.069388092226433E-2</v>
      </c>
      <c r="U16" s="2" t="e">
        <v>#N/A</v>
      </c>
      <c r="V16" s="2" t="e">
        <v>#N/A</v>
      </c>
      <c r="X16" s="18" t="s">
        <v>30</v>
      </c>
      <c r="Y16" s="2">
        <v>8.8065542152300283E-19</v>
      </c>
      <c r="Z16" s="2">
        <v>0.96879501963776526</v>
      </c>
      <c r="AA16" s="2">
        <v>-0.37229664008860353</v>
      </c>
      <c r="AB16" s="2">
        <v>-0.17708050969006561</v>
      </c>
      <c r="AC16" s="2">
        <v>6.5458836447929931E-5</v>
      </c>
      <c r="AI16" s="15">
        <v>42212</v>
      </c>
      <c r="AJ16" s="2">
        <v>122.22</v>
      </c>
      <c r="AK16" s="2">
        <v>45.05</v>
      </c>
      <c r="AL16" s="2">
        <v>157.76</v>
      </c>
      <c r="AM16" s="2">
        <v>99.699000918043936</v>
      </c>
      <c r="AN16" s="2">
        <v>48.829094675704809</v>
      </c>
    </row>
    <row r="17" spans="2:40" x14ac:dyDescent="0.35">
      <c r="B17" s="15">
        <v>42209</v>
      </c>
      <c r="C17" s="49" t="str">
        <f>$S$4</f>
        <v>AAPL</v>
      </c>
      <c r="D17" s="53">
        <f>CHOOSE($S$3,AJ17,AK17,AL17,AM17,AN17)</f>
        <v>123.94</v>
      </c>
      <c r="E17" s="55">
        <f t="shared" si="1"/>
        <v>-5.3110288193913601E-3</v>
      </c>
      <c r="F17" s="55">
        <f t="shared" si="4"/>
        <v>-5.3110288193913601E-3</v>
      </c>
      <c r="G17" s="70">
        <f t="shared" si="5"/>
        <v>-6.6260186622744376E-3</v>
      </c>
      <c r="H17" s="53"/>
      <c r="I17" s="15">
        <v>42209</v>
      </c>
      <c r="J17" s="55">
        <v>-1.0800000000000001E-2</v>
      </c>
      <c r="K17" s="55">
        <v>-6.0999999999999995E-3</v>
      </c>
      <c r="L17" s="55">
        <v>-2.0000000000000001E-4</v>
      </c>
      <c r="M17" s="55">
        <v>0</v>
      </c>
      <c r="N17" s="70">
        <f t="shared" si="6"/>
        <v>-1.1309145129224653E-2</v>
      </c>
      <c r="O17" s="70">
        <f t="shared" si="2"/>
        <v>-6.0083499005964209E-3</v>
      </c>
      <c r="P17" s="70">
        <f t="shared" si="3"/>
        <v>9.8409542743538818E-5</v>
      </c>
      <c r="R17" s="2" t="s">
        <v>15</v>
      </c>
      <c r="S17" s="2">
        <f>S12/S13</f>
        <v>-4.6594609601869816</v>
      </c>
      <c r="T17" s="2">
        <f>T12/T13</f>
        <v>-2.1166967804506767</v>
      </c>
      <c r="U17" s="2">
        <f>U12/U13</f>
        <v>9.8703824868847043</v>
      </c>
      <c r="V17" s="2">
        <f>V12/V13</f>
        <v>2.3493016362021572E-15</v>
      </c>
      <c r="AI17" s="15">
        <v>42209</v>
      </c>
      <c r="AJ17" s="2">
        <v>123.94</v>
      </c>
      <c r="AK17" s="2">
        <v>45.64</v>
      </c>
      <c r="AL17" s="2">
        <v>158.43</v>
      </c>
      <c r="AM17" s="2">
        <v>100.61224080284056</v>
      </c>
      <c r="AN17" s="2">
        <v>49.252528787186705</v>
      </c>
    </row>
    <row r="18" spans="2:40" x14ac:dyDescent="0.35">
      <c r="B18" s="15">
        <v>42208</v>
      </c>
      <c r="C18" s="49" t="str">
        <f>$S$4</f>
        <v>AAPL</v>
      </c>
      <c r="D18" s="53">
        <f>CHOOSE($S$3,AJ18,AK18,AL18,AM18,AN18)</f>
        <v>124.6</v>
      </c>
      <c r="E18" s="55">
        <f t="shared" si="1"/>
        <v>-4.8142502735177623E-4</v>
      </c>
      <c r="F18" s="55">
        <f t="shared" si="4"/>
        <v>-4.8142502735177623E-4</v>
      </c>
      <c r="G18" s="70">
        <f t="shared" si="5"/>
        <v>-1.7964148702348532E-3</v>
      </c>
      <c r="H18" s="53"/>
      <c r="I18" s="15">
        <v>42208</v>
      </c>
      <c r="J18" s="55">
        <v>-6.0000000000000001E-3</v>
      </c>
      <c r="K18" s="55">
        <v>-3.4999999999999996E-3</v>
      </c>
      <c r="L18" s="55">
        <v>-3.4000000000000002E-3</v>
      </c>
      <c r="M18" s="55">
        <v>0</v>
      </c>
      <c r="N18" s="70">
        <f t="shared" si="6"/>
        <v>-6.5091451292246527E-3</v>
      </c>
      <c r="O18" s="70">
        <f t="shared" si="2"/>
        <v>-3.4083499005964214E-3</v>
      </c>
      <c r="P18" s="70">
        <f t="shared" si="3"/>
        <v>-3.1015904572564614E-3</v>
      </c>
      <c r="AI18" s="15">
        <v>42208</v>
      </c>
      <c r="AJ18" s="2">
        <v>124.6</v>
      </c>
      <c r="AK18" s="2">
        <v>45.81</v>
      </c>
      <c r="AL18" s="2">
        <v>160.4</v>
      </c>
      <c r="AM18" s="2">
        <v>101.50566095043277</v>
      </c>
      <c r="AN18" s="2">
        <v>49.650472386994167</v>
      </c>
    </row>
    <row r="19" spans="2:40" x14ac:dyDescent="0.35">
      <c r="B19" s="15">
        <v>42207</v>
      </c>
      <c r="C19" s="49" t="str">
        <f>$S$4</f>
        <v>AAPL</v>
      </c>
      <c r="D19" s="53">
        <f>CHOOSE($S$3,AJ19,AK19,AL19,AM19,AN19)</f>
        <v>124.66</v>
      </c>
      <c r="E19" s="55">
        <f t="shared" si="1"/>
        <v>-4.317443153007787E-2</v>
      </c>
      <c r="F19" s="55">
        <f t="shared" si="4"/>
        <v>-4.317443153007787E-2</v>
      </c>
      <c r="G19" s="70">
        <f t="shared" si="5"/>
        <v>-4.4489421372960948E-2</v>
      </c>
      <c r="H19" s="53"/>
      <c r="I19" s="15">
        <v>42207</v>
      </c>
      <c r="J19" s="55">
        <v>-1.8E-3</v>
      </c>
      <c r="K19" s="55">
        <v>1.8E-3</v>
      </c>
      <c r="L19" s="55">
        <v>1.9E-3</v>
      </c>
      <c r="M19" s="55">
        <v>0</v>
      </c>
      <c r="N19" s="70">
        <f t="shared" si="6"/>
        <v>-2.3091451292246525E-3</v>
      </c>
      <c r="O19" s="70">
        <f t="shared" si="2"/>
        <v>1.8916500994035782E-3</v>
      </c>
      <c r="P19" s="70">
        <f t="shared" si="3"/>
        <v>2.1984095427435386E-3</v>
      </c>
      <c r="AI19" s="15">
        <v>42207</v>
      </c>
      <c r="AJ19" s="2">
        <v>124.66</v>
      </c>
      <c r="AK19" s="2">
        <v>45.24</v>
      </c>
      <c r="AL19" s="2">
        <v>159.03</v>
      </c>
      <c r="AM19" s="2">
        <v>101.09661312320675</v>
      </c>
      <c r="AN19" s="2">
        <v>49.129543472836637</v>
      </c>
    </row>
    <row r="20" spans="2:40" x14ac:dyDescent="0.35">
      <c r="B20" s="15">
        <v>42206</v>
      </c>
      <c r="C20" s="49" t="str">
        <f>$S$4</f>
        <v>AAPL</v>
      </c>
      <c r="D20" s="53">
        <f>CHOOSE($S$3,AJ20,AK20,AL20,AM20,AN20)</f>
        <v>130.16</v>
      </c>
      <c r="E20" s="55">
        <f t="shared" si="1"/>
        <v>-1.0014225797730572E-2</v>
      </c>
      <c r="F20" s="55">
        <f t="shared" si="4"/>
        <v>-1.0014225797730572E-2</v>
      </c>
      <c r="G20" s="70">
        <f t="shared" si="5"/>
        <v>-1.1329215640613649E-2</v>
      </c>
      <c r="H20" s="53"/>
      <c r="I20" s="15">
        <v>42206</v>
      </c>
      <c r="J20" s="55">
        <v>-4.6999999999999993E-3</v>
      </c>
      <c r="K20" s="55">
        <v>2.9999999999999997E-4</v>
      </c>
      <c r="L20" s="55">
        <v>3.0000000000000001E-3</v>
      </c>
      <c r="M20" s="55">
        <v>0</v>
      </c>
      <c r="N20" s="70">
        <f t="shared" si="6"/>
        <v>-5.2091451292246519E-3</v>
      </c>
      <c r="O20" s="70">
        <f t="shared" si="2"/>
        <v>3.9165009940357826E-4</v>
      </c>
      <c r="P20" s="70">
        <f t="shared" si="3"/>
        <v>3.2984095427435389E-3</v>
      </c>
      <c r="X20" s="3" t="s">
        <v>48</v>
      </c>
      <c r="Y20" s="4"/>
      <c r="Z20" s="4"/>
      <c r="AA20" s="4"/>
      <c r="AI20" s="15">
        <v>42206</v>
      </c>
      <c r="AJ20" s="2">
        <v>130.16</v>
      </c>
      <c r="AK20" s="2">
        <v>46.97</v>
      </c>
      <c r="AL20" s="2">
        <v>161.72999999999999</v>
      </c>
      <c r="AM20" s="2">
        <v>104.18501027743581</v>
      </c>
      <c r="AN20" s="2">
        <v>50.485971449859157</v>
      </c>
    </row>
    <row r="21" spans="2:40" x14ac:dyDescent="0.35">
      <c r="B21" s="15">
        <v>42205</v>
      </c>
      <c r="C21" s="49" t="str">
        <f>$S$4</f>
        <v>AAPL</v>
      </c>
      <c r="D21" s="53">
        <f>CHOOSE($S$3,AJ21,AK21,AL21,AM21,AN21)</f>
        <v>131.47</v>
      </c>
      <c r="E21" s="55">
        <f t="shared" si="1"/>
        <v>1.8656254891559435E-2</v>
      </c>
      <c r="F21" s="55">
        <f t="shared" si="4"/>
        <v>1.8656254891559435E-2</v>
      </c>
      <c r="G21" s="70">
        <f t="shared" si="5"/>
        <v>1.7341265048676356E-2</v>
      </c>
      <c r="H21" s="53"/>
      <c r="I21" s="15">
        <v>42205</v>
      </c>
      <c r="J21" s="55">
        <v>-1E-4</v>
      </c>
      <c r="K21" s="55">
        <v>-7.1999999999999998E-3</v>
      </c>
      <c r="L21" s="55">
        <v>-5.6999999999999993E-3</v>
      </c>
      <c r="M21" s="55">
        <v>0</v>
      </c>
      <c r="N21" s="70">
        <f t="shared" si="6"/>
        <v>-6.0914512922465264E-4</v>
      </c>
      <c r="O21" s="70">
        <f t="shared" si="2"/>
        <v>-7.1083499005964211E-3</v>
      </c>
      <c r="P21" s="70">
        <f t="shared" si="3"/>
        <v>-5.4015904572564605E-3</v>
      </c>
      <c r="Y21" s="72" t="s">
        <v>45</v>
      </c>
      <c r="Z21" s="72" t="s">
        <v>46</v>
      </c>
      <c r="AA21" s="72" t="s">
        <v>47</v>
      </c>
      <c r="AI21" s="15">
        <v>42205</v>
      </c>
      <c r="AJ21" s="2">
        <v>131.47</v>
      </c>
      <c r="AK21" s="2">
        <v>46.61</v>
      </c>
      <c r="AL21" s="2">
        <v>171.79</v>
      </c>
      <c r="AM21" s="2">
        <v>107.94957789368442</v>
      </c>
      <c r="AN21" s="2">
        <v>51.862672634863259</v>
      </c>
    </row>
    <row r="22" spans="2:40" x14ac:dyDescent="0.35">
      <c r="B22" s="15">
        <v>42202</v>
      </c>
      <c r="C22" s="49" t="str">
        <f>$S$4</f>
        <v>AAPL</v>
      </c>
      <c r="D22" s="53">
        <f>CHOOSE($S$3,AJ22,AK22,AL22,AM22,AN22)</f>
        <v>129.04</v>
      </c>
      <c r="E22" s="55">
        <f t="shared" si="1"/>
        <v>8.6391944880096633E-3</v>
      </c>
      <c r="F22" s="55">
        <f t="shared" si="4"/>
        <v>8.6391944880096633E-3</v>
      </c>
      <c r="G22" s="70">
        <f t="shared" si="5"/>
        <v>7.3242046451265867E-3</v>
      </c>
      <c r="H22" s="53"/>
      <c r="I22" s="15">
        <v>42202</v>
      </c>
      <c r="J22" s="55">
        <v>5.0000000000000001E-4</v>
      </c>
      <c r="K22" s="55">
        <v>-6.0000000000000001E-3</v>
      </c>
      <c r="L22" s="55">
        <v>-6.5000000000000006E-3</v>
      </c>
      <c r="M22" s="55">
        <v>0</v>
      </c>
      <c r="N22" s="70">
        <f t="shared" si="6"/>
        <v>-9.1451292246525796E-6</v>
      </c>
      <c r="O22" s="70">
        <f t="shared" si="2"/>
        <v>-5.9083499005964215E-3</v>
      </c>
      <c r="P22" s="70">
        <f t="shared" si="3"/>
        <v>-6.2015904572564617E-3</v>
      </c>
      <c r="X22" s="73" t="s">
        <v>45</v>
      </c>
      <c r="Y22" s="71">
        <f>VAR(N12:N514)</f>
        <v>5.3832864407182377E-5</v>
      </c>
      <c r="Z22" s="71">
        <f>COVAR($N$12:$N$514,O12:O514)</f>
        <v>9.0213749313265578E-6</v>
      </c>
      <c r="AA22" s="71">
        <f>COVAR($N$12:$N$514,P12:P514)</f>
        <v>-5.0468932725713306E-6</v>
      </c>
      <c r="AI22" s="15">
        <v>42202</v>
      </c>
      <c r="AJ22" s="2">
        <v>129.04</v>
      </c>
      <c r="AK22" s="2">
        <v>46.31</v>
      </c>
      <c r="AL22" s="2">
        <v>171.09</v>
      </c>
      <c r="AM22" s="2">
        <v>106.73201208972422</v>
      </c>
      <c r="AN22" s="2">
        <v>51.59010500177353</v>
      </c>
    </row>
    <row r="23" spans="2:40" x14ac:dyDescent="0.35">
      <c r="B23" s="15">
        <v>42201</v>
      </c>
      <c r="C23" s="49" t="str">
        <f>$S$4</f>
        <v>AAPL</v>
      </c>
      <c r="D23" s="53">
        <f>CHOOSE($S$3,AJ23,AK23,AL23,AM23,AN23)</f>
        <v>127.93</v>
      </c>
      <c r="E23" s="55">
        <f t="shared" si="1"/>
        <v>1.3219171173474405E-2</v>
      </c>
      <c r="F23" s="55">
        <f t="shared" si="4"/>
        <v>1.3219171173474405E-2</v>
      </c>
      <c r="G23" s="70">
        <f t="shared" si="5"/>
        <v>1.1904181330591328E-2</v>
      </c>
      <c r="H23" s="53"/>
      <c r="I23" s="15">
        <v>42201</v>
      </c>
      <c r="J23" s="55">
        <v>7.8000000000000005E-3</v>
      </c>
      <c r="K23" s="55">
        <v>-1.7000000000000001E-3</v>
      </c>
      <c r="L23" s="55">
        <v>-6.1999999999999998E-3</v>
      </c>
      <c r="M23" s="55">
        <v>0</v>
      </c>
      <c r="N23" s="70">
        <f t="shared" si="6"/>
        <v>7.2908548707753479E-3</v>
      </c>
      <c r="O23" s="70">
        <f t="shared" si="2"/>
        <v>-1.6083499005964219E-3</v>
      </c>
      <c r="P23" s="70">
        <f t="shared" si="3"/>
        <v>-5.901590457256461E-3</v>
      </c>
      <c r="X23" s="73" t="s">
        <v>46</v>
      </c>
      <c r="Y23" s="71">
        <f>Z22</f>
        <v>9.0213749313265578E-6</v>
      </c>
      <c r="Z23" s="71">
        <f>VAR(O12:O514)</f>
        <v>2.4950766793660329E-5</v>
      </c>
      <c r="AA23" s="71">
        <f>COVAR($O$12:$O$514,P12:P514)</f>
        <v>-7.0569715306570073E-6</v>
      </c>
      <c r="AI23" s="15">
        <v>42201</v>
      </c>
      <c r="AJ23" s="2">
        <v>127.93</v>
      </c>
      <c r="AK23" s="2">
        <v>46.35</v>
      </c>
      <c r="AL23" s="2">
        <v>169.59</v>
      </c>
      <c r="AM23" s="2">
        <v>105.80508195673903</v>
      </c>
      <c r="AN23" s="2">
        <v>51.386231969883262</v>
      </c>
    </row>
    <row r="24" spans="2:40" x14ac:dyDescent="0.35">
      <c r="B24" s="15">
        <v>42200</v>
      </c>
      <c r="C24" s="49" t="str">
        <f>$S$4</f>
        <v>AAPL</v>
      </c>
      <c r="D24" s="53">
        <f>CHOOSE($S$3,AJ24,AK24,AL24,AM24,AN24)</f>
        <v>126.25</v>
      </c>
      <c r="E24" s="55">
        <f t="shared" si="1"/>
        <v>9.6303820422478908E-3</v>
      </c>
      <c r="F24" s="55">
        <f t="shared" si="4"/>
        <v>9.6303820422478908E-3</v>
      </c>
      <c r="G24" s="70">
        <f t="shared" si="5"/>
        <v>8.3153921993648142E-3</v>
      </c>
      <c r="H24" s="53"/>
      <c r="I24" s="15">
        <v>42200</v>
      </c>
      <c r="J24" s="55">
        <v>-1.9E-3</v>
      </c>
      <c r="K24" s="55">
        <v>-8.1000000000000013E-3</v>
      </c>
      <c r="L24" s="55">
        <v>-8.0000000000000004E-4</v>
      </c>
      <c r="M24" s="55">
        <v>0</v>
      </c>
      <c r="N24" s="70">
        <f t="shared" si="6"/>
        <v>-2.4091451292246524E-3</v>
      </c>
      <c r="O24" s="70">
        <f t="shared" si="2"/>
        <v>-8.0083499005964235E-3</v>
      </c>
      <c r="P24" s="70">
        <f t="shared" si="3"/>
        <v>-5.0159045725646121E-4</v>
      </c>
      <c r="X24" s="73" t="s">
        <v>47</v>
      </c>
      <c r="Y24" s="71">
        <f>AA22</f>
        <v>-5.0468932725713306E-6</v>
      </c>
      <c r="Z24" s="71">
        <f>AA23</f>
        <v>-7.0569715306570073E-6</v>
      </c>
      <c r="AA24" s="71">
        <f>VAR(P12:P514)</f>
        <v>1.4001073162617927E-5</v>
      </c>
      <c r="AI24" s="15">
        <v>42200</v>
      </c>
      <c r="AJ24" s="2">
        <v>126.25</v>
      </c>
      <c r="AK24" s="2">
        <v>45.46</v>
      </c>
      <c r="AL24" s="2">
        <v>167.14</v>
      </c>
      <c r="AM24" s="2">
        <v>104.3460939847299</v>
      </c>
      <c r="AN24" s="2">
        <v>50.521701459761054</v>
      </c>
    </row>
    <row r="25" spans="2:40" x14ac:dyDescent="0.35">
      <c r="B25" s="15">
        <v>42199</v>
      </c>
      <c r="C25" s="49" t="str">
        <f>$S$4</f>
        <v>AAPL</v>
      </c>
      <c r="D25" s="53">
        <f>CHOOSE($S$3,AJ25,AK25,AL25,AM25,AN25)</f>
        <v>125.04</v>
      </c>
      <c r="E25" s="55">
        <f t="shared" si="1"/>
        <v>-3.9979211342880053E-4</v>
      </c>
      <c r="F25" s="55">
        <f t="shared" si="4"/>
        <v>-3.9979211342880053E-4</v>
      </c>
      <c r="G25" s="70">
        <f t="shared" si="5"/>
        <v>-1.7147819563118776E-3</v>
      </c>
      <c r="H25" s="53"/>
      <c r="I25" s="15">
        <v>42199</v>
      </c>
      <c r="J25" s="55">
        <v>4.6999999999999993E-3</v>
      </c>
      <c r="K25" s="55">
        <v>1.5E-3</v>
      </c>
      <c r="L25" s="55">
        <v>1.2999999999999999E-3</v>
      </c>
      <c r="M25" s="55">
        <v>0</v>
      </c>
      <c r="N25" s="70">
        <f t="shared" si="6"/>
        <v>4.1908548707753467E-3</v>
      </c>
      <c r="O25" s="70">
        <f t="shared" si="2"/>
        <v>1.5916500994035783E-3</v>
      </c>
      <c r="P25" s="70">
        <f t="shared" si="3"/>
        <v>1.5984095427435388E-3</v>
      </c>
      <c r="Z25" s="55"/>
      <c r="AI25" s="15">
        <v>42199</v>
      </c>
      <c r="AJ25" s="2">
        <v>125.04</v>
      </c>
      <c r="AK25" s="2">
        <v>45.32</v>
      </c>
      <c r="AL25" s="2">
        <v>167.22</v>
      </c>
      <c r="AM25" s="2">
        <v>103.87103137899193</v>
      </c>
      <c r="AN25" s="2">
        <v>50.455998245081965</v>
      </c>
    </row>
    <row r="26" spans="2:40" x14ac:dyDescent="0.35">
      <c r="B26" s="15">
        <v>42198</v>
      </c>
      <c r="C26" s="49" t="str">
        <f>$S$4</f>
        <v>AAPL</v>
      </c>
      <c r="D26" s="53">
        <f>CHOOSE($S$3,AJ26,AK26,AL26,AM26,AN26)</f>
        <v>125.09</v>
      </c>
      <c r="E26" s="55">
        <f t="shared" si="1"/>
        <v>1.912814060770401E-2</v>
      </c>
      <c r="F26" s="55">
        <f t="shared" si="4"/>
        <v>1.912814060770401E-2</v>
      </c>
      <c r="G26" s="70">
        <f t="shared" si="5"/>
        <v>1.7813150764820932E-2</v>
      </c>
      <c r="H26" s="53"/>
      <c r="I26" s="15">
        <v>42198</v>
      </c>
      <c r="J26" s="55">
        <v>1.1399999999999999E-2</v>
      </c>
      <c r="K26" s="55">
        <v>-7.000000000000001E-4</v>
      </c>
      <c r="L26" s="55">
        <v>-4.1999999999999997E-3</v>
      </c>
      <c r="M26" s="55">
        <v>0</v>
      </c>
      <c r="N26" s="70">
        <f t="shared" si="6"/>
        <v>1.0890854870775346E-2</v>
      </c>
      <c r="O26" s="70">
        <f t="shared" si="2"/>
        <v>-6.0834990059642176E-4</v>
      </c>
      <c r="P26" s="70">
        <f t="shared" si="3"/>
        <v>-3.9015904572564609E-3</v>
      </c>
      <c r="AI26" s="15">
        <v>42198</v>
      </c>
      <c r="AJ26" s="2">
        <v>125.09</v>
      </c>
      <c r="AK26" s="2">
        <v>45.24</v>
      </c>
      <c r="AL26" s="2">
        <v>167.99</v>
      </c>
      <c r="AM26" s="2">
        <v>104.13094705040608</v>
      </c>
      <c r="AN26" s="2">
        <v>50.527632827911916</v>
      </c>
    </row>
    <row r="27" spans="2:40" x14ac:dyDescent="0.35">
      <c r="B27" s="15">
        <v>42195</v>
      </c>
      <c r="C27" s="49" t="str">
        <f>$S$4</f>
        <v>AAPL</v>
      </c>
      <c r="D27" s="53">
        <f>CHOOSE($S$3,AJ27,AK27,AL27,AM27,AN27)</f>
        <v>122.72</v>
      </c>
      <c r="E27" s="55">
        <f t="shared" si="1"/>
        <v>2.6337951729056508E-2</v>
      </c>
      <c r="F27" s="55">
        <f t="shared" si="4"/>
        <v>2.6337951729056508E-2</v>
      </c>
      <c r="G27" s="70">
        <f t="shared" si="5"/>
        <v>2.502296188617343E-2</v>
      </c>
      <c r="H27" s="53"/>
      <c r="I27" s="15">
        <v>42195</v>
      </c>
      <c r="J27" s="55">
        <v>1.24E-2</v>
      </c>
      <c r="K27" s="55">
        <v>2.3E-3</v>
      </c>
      <c r="L27" s="55">
        <v>-5.5000000000000005E-3</v>
      </c>
      <c r="M27" s="55">
        <v>0</v>
      </c>
      <c r="N27" s="70">
        <f t="shared" si="6"/>
        <v>1.1890854870775347E-2</v>
      </c>
      <c r="O27" s="70">
        <f t="shared" si="2"/>
        <v>2.3916500994035782E-3</v>
      </c>
      <c r="P27" s="70">
        <f t="shared" si="3"/>
        <v>-5.2015904572564617E-3</v>
      </c>
      <c r="X27" s="99"/>
      <c r="AI27" s="15">
        <v>42195</v>
      </c>
      <c r="AJ27" s="2">
        <v>122.72</v>
      </c>
      <c r="AK27" s="2">
        <v>44.32</v>
      </c>
      <c r="AL27" s="2">
        <v>165.58</v>
      </c>
      <c r="AM27" s="2">
        <v>102.39755984244314</v>
      </c>
      <c r="AN27" s="2">
        <v>49.651431179433537</v>
      </c>
    </row>
    <row r="28" spans="2:40" x14ac:dyDescent="0.35">
      <c r="B28" s="15">
        <v>42194</v>
      </c>
      <c r="C28" s="49" t="str">
        <f>$S$4</f>
        <v>AAPL</v>
      </c>
      <c r="D28" s="53">
        <f>CHOOSE($S$3,AJ28,AK28,AL28,AM28,AN28)</f>
        <v>119.53</v>
      </c>
      <c r="E28" s="55">
        <f t="shared" si="1"/>
        <v>-2.0617579833816787E-2</v>
      </c>
      <c r="F28" s="55">
        <f t="shared" si="4"/>
        <v>-2.0617579833816787E-2</v>
      </c>
      <c r="G28" s="70">
        <f t="shared" si="5"/>
        <v>-2.1932569676699865E-2</v>
      </c>
      <c r="H28" s="53"/>
      <c r="I28" s="15">
        <v>42194</v>
      </c>
      <c r="J28" s="55">
        <v>2.8000000000000004E-3</v>
      </c>
      <c r="K28" s="55">
        <v>1.6000000000000001E-3</v>
      </c>
      <c r="L28" s="55">
        <v>-2.9999999999999997E-4</v>
      </c>
      <c r="M28" s="55">
        <v>0</v>
      </c>
      <c r="N28" s="70">
        <f t="shared" si="6"/>
        <v>2.2908548707753478E-3</v>
      </c>
      <c r="O28" s="70">
        <f t="shared" si="2"/>
        <v>1.6916500994035783E-3</v>
      </c>
      <c r="P28" s="70">
        <f t="shared" si="3"/>
        <v>-1.5904572564611461E-6</v>
      </c>
      <c r="X28" s="1"/>
      <c r="Y28" s="56"/>
      <c r="Z28" s="56"/>
      <c r="AA28" s="56"/>
      <c r="AB28" s="56"/>
      <c r="AC28" s="56"/>
      <c r="AI28" s="15">
        <v>42194</v>
      </c>
      <c r="AJ28" s="2">
        <v>119.53</v>
      </c>
      <c r="AK28" s="2">
        <v>44.23</v>
      </c>
      <c r="AL28" s="2">
        <v>162.5</v>
      </c>
      <c r="AM28" s="2">
        <v>100.11432908968401</v>
      </c>
      <c r="AN28" s="2">
        <v>49.139227852796473</v>
      </c>
    </row>
    <row r="29" spans="2:40" x14ac:dyDescent="0.35">
      <c r="B29" s="15">
        <v>42193</v>
      </c>
      <c r="C29" s="49" t="str">
        <f>$S$4</f>
        <v>AAPL</v>
      </c>
      <c r="D29" s="53">
        <f>CHOOSE($S$3,AJ29,AK29,AL29,AM29,AN29)</f>
        <v>122.02</v>
      </c>
      <c r="E29" s="55">
        <f t="shared" si="1"/>
        <v>-2.5088311073294668E-2</v>
      </c>
      <c r="F29" s="55">
        <f t="shared" si="4"/>
        <v>-2.5088311073294668E-2</v>
      </c>
      <c r="G29" s="70">
        <f t="shared" si="5"/>
        <v>-2.6403300916177746E-2</v>
      </c>
      <c r="H29" s="53"/>
      <c r="I29" s="15">
        <v>42193</v>
      </c>
      <c r="J29" s="55">
        <v>-1.6799999999999999E-2</v>
      </c>
      <c r="K29" s="55">
        <v>-2.9999999999999997E-4</v>
      </c>
      <c r="L29" s="55">
        <v>7.000000000000001E-4</v>
      </c>
      <c r="M29" s="55">
        <v>0</v>
      </c>
      <c r="N29" s="70">
        <f t="shared" si="6"/>
        <v>-1.730914512922465E-2</v>
      </c>
      <c r="O29" s="70">
        <f t="shared" si="2"/>
        <v>-2.0834990059642166E-4</v>
      </c>
      <c r="P29" s="70">
        <f t="shared" si="3"/>
        <v>9.9840954274353893E-4</v>
      </c>
      <c r="AI29" s="15">
        <v>42193</v>
      </c>
      <c r="AJ29" s="2">
        <v>122.02</v>
      </c>
      <c r="AK29" s="2">
        <v>43.95</v>
      </c>
      <c r="AL29" s="2">
        <v>161.82</v>
      </c>
      <c r="AM29" s="2">
        <v>100.94762945698855</v>
      </c>
      <c r="AN29" s="2">
        <v>48.880874424744221</v>
      </c>
    </row>
    <row r="30" spans="2:40" x14ac:dyDescent="0.35">
      <c r="B30" s="15">
        <v>42192</v>
      </c>
      <c r="C30" s="49" t="str">
        <f>$S$4</f>
        <v>AAPL</v>
      </c>
      <c r="D30" s="53">
        <f>CHOOSE($S$3,AJ30,AK30,AL30,AM30,AN30)</f>
        <v>125.12</v>
      </c>
      <c r="E30" s="55">
        <f t="shared" si="1"/>
        <v>-2.4745572395824121E-3</v>
      </c>
      <c r="F30" s="55">
        <f t="shared" si="4"/>
        <v>-2.4745572395824121E-3</v>
      </c>
      <c r="G30" s="70">
        <f t="shared" si="5"/>
        <v>-3.7895470824654892E-3</v>
      </c>
      <c r="H30" s="53"/>
      <c r="I30" s="15">
        <v>42192</v>
      </c>
      <c r="J30" s="55">
        <v>5.3E-3</v>
      </c>
      <c r="K30" s="55">
        <v>-4.4000000000000003E-3</v>
      </c>
      <c r="L30" s="55">
        <v>-2.5000000000000001E-3</v>
      </c>
      <c r="M30" s="55">
        <v>0</v>
      </c>
      <c r="N30" s="70">
        <f t="shared" si="6"/>
        <v>4.7908548707753474E-3</v>
      </c>
      <c r="O30" s="70">
        <f t="shared" si="2"/>
        <v>-4.3083499005964216E-3</v>
      </c>
      <c r="P30" s="70">
        <f t="shared" si="3"/>
        <v>-2.2015904572564612E-3</v>
      </c>
      <c r="AI30" s="15">
        <v>42192</v>
      </c>
      <c r="AJ30" s="2">
        <v>125.12</v>
      </c>
      <c r="AK30" s="2">
        <v>44.01</v>
      </c>
      <c r="AL30" s="2">
        <v>163.63999999999999</v>
      </c>
      <c r="AM30" s="2">
        <v>102.797632855128</v>
      </c>
      <c r="AN30" s="2">
        <v>49.189123386485129</v>
      </c>
    </row>
    <row r="31" spans="2:40" x14ac:dyDescent="0.35">
      <c r="B31" s="15">
        <v>42191</v>
      </c>
      <c r="C31" s="49" t="str">
        <f>$S$4</f>
        <v>AAPL</v>
      </c>
      <c r="D31" s="53">
        <f>CHOOSE($S$3,AJ31,AK31,AL31,AM31,AN31)</f>
        <v>125.43</v>
      </c>
      <c r="E31" s="55">
        <f t="shared" si="1"/>
        <v>-3.5017942668301894E-3</v>
      </c>
      <c r="F31" s="55">
        <f t="shared" si="4"/>
        <v>-3.5017942668301894E-3</v>
      </c>
      <c r="G31" s="70">
        <f t="shared" si="5"/>
        <v>-4.8167841097132664E-3</v>
      </c>
      <c r="H31" s="53"/>
      <c r="I31" s="15">
        <v>42191</v>
      </c>
      <c r="J31" s="55">
        <v>-3.7000000000000002E-3</v>
      </c>
      <c r="K31" s="55">
        <v>1.5E-3</v>
      </c>
      <c r="L31" s="55">
        <v>-5.5000000000000005E-3</v>
      </c>
      <c r="M31" s="55">
        <v>0</v>
      </c>
      <c r="N31" s="70">
        <f t="shared" si="6"/>
        <v>-4.2091451292246528E-3</v>
      </c>
      <c r="O31" s="70">
        <f t="shared" si="2"/>
        <v>1.5916500994035783E-3</v>
      </c>
      <c r="P31" s="70">
        <f t="shared" si="3"/>
        <v>-5.2015904572564617E-3</v>
      </c>
      <c r="AI31" s="15">
        <v>42191</v>
      </c>
      <c r="AJ31" s="2">
        <v>125.43</v>
      </c>
      <c r="AK31" s="2">
        <v>44.1</v>
      </c>
      <c r="AL31" s="2">
        <v>163.37</v>
      </c>
      <c r="AM31" s="2">
        <v>102.84017350440493</v>
      </c>
      <c r="AN31" s="2">
        <v>49.198838888656375</v>
      </c>
    </row>
    <row r="32" spans="2:40" x14ac:dyDescent="0.35">
      <c r="B32" s="15">
        <v>42187</v>
      </c>
      <c r="C32" s="49" t="str">
        <f>$S$4</f>
        <v>AAPL</v>
      </c>
      <c r="D32" s="53">
        <f>CHOOSE($S$3,AJ32,AK32,AL32,AM32,AN32)</f>
        <v>125.87</v>
      </c>
      <c r="E32" s="55">
        <f t="shared" si="1"/>
        <v>-1.2703455459868009E-3</v>
      </c>
      <c r="F32" s="55">
        <f t="shared" si="4"/>
        <v>-1.2703455459868009E-3</v>
      </c>
      <c r="G32" s="70">
        <f t="shared" si="5"/>
        <v>-2.5853353888698779E-3</v>
      </c>
      <c r="H32" s="53"/>
      <c r="I32" s="15">
        <v>42187</v>
      </c>
      <c r="J32" s="55">
        <v>-1.1000000000000001E-3</v>
      </c>
      <c r="K32" s="55">
        <v>-5.6000000000000008E-3</v>
      </c>
      <c r="L32" s="55">
        <v>-4.0000000000000002E-4</v>
      </c>
      <c r="M32" s="55">
        <v>0</v>
      </c>
      <c r="N32" s="70">
        <f t="shared" si="6"/>
        <v>-1.6091451292246527E-3</v>
      </c>
      <c r="O32" s="70">
        <f t="shared" si="2"/>
        <v>-5.5083499005964221E-3</v>
      </c>
      <c r="P32" s="70">
        <f t="shared" si="3"/>
        <v>-1.0159045725646119E-4</v>
      </c>
      <c r="X32" s="18"/>
      <c r="AI32" s="15">
        <v>42187</v>
      </c>
      <c r="AJ32" s="2">
        <v>125.87</v>
      </c>
      <c r="AK32" s="2">
        <v>44.11</v>
      </c>
      <c r="AL32" s="2">
        <v>163.72999999999999</v>
      </c>
      <c r="AM32" s="2">
        <v>103.13386034087796</v>
      </c>
      <c r="AN32" s="2">
        <v>49.258623947965468</v>
      </c>
    </row>
    <row r="33" spans="2:40" x14ac:dyDescent="0.35">
      <c r="B33" s="15">
        <v>42186</v>
      </c>
      <c r="C33" s="49" t="str">
        <f>$S$4</f>
        <v>AAPL</v>
      </c>
      <c r="D33" s="53">
        <f>CHOOSE($S$3,AJ33,AK33,AL33,AM33,AN33)</f>
        <v>126.03</v>
      </c>
      <c r="E33" s="55">
        <f t="shared" si="1"/>
        <v>9.3268642158023957E-3</v>
      </c>
      <c r="F33" s="55">
        <f t="shared" si="4"/>
        <v>9.3268642158023957E-3</v>
      </c>
      <c r="G33" s="70">
        <f t="shared" si="5"/>
        <v>8.0118743729193191E-3</v>
      </c>
      <c r="H33" s="53"/>
      <c r="I33" s="15">
        <v>42186</v>
      </c>
      <c r="J33" s="55">
        <v>6.0000000000000001E-3</v>
      </c>
      <c r="K33" s="55">
        <v>-7.7000000000000002E-3</v>
      </c>
      <c r="L33" s="55">
        <v>-5.9999999999999995E-4</v>
      </c>
      <c r="M33" s="55">
        <v>0</v>
      </c>
      <c r="N33" s="70">
        <f t="shared" si="6"/>
        <v>5.4908548707753475E-3</v>
      </c>
      <c r="O33" s="70">
        <f t="shared" si="2"/>
        <v>-7.6083499005964216E-3</v>
      </c>
      <c r="P33" s="70">
        <f t="shared" si="3"/>
        <v>-3.0159045725646112E-4</v>
      </c>
      <c r="X33" s="18"/>
      <c r="AI33" s="15">
        <v>42186</v>
      </c>
      <c r="AJ33" s="2">
        <v>126.03</v>
      </c>
      <c r="AK33" s="2">
        <v>44.16</v>
      </c>
      <c r="AL33" s="2">
        <v>163.13999999999999</v>
      </c>
      <c r="AM33" s="2">
        <v>103.01358868675283</v>
      </c>
      <c r="AN33" s="2">
        <v>49.197790440334529</v>
      </c>
    </row>
    <row r="34" spans="2:40" x14ac:dyDescent="0.35">
      <c r="B34" s="15">
        <v>42185</v>
      </c>
      <c r="C34" s="49" t="str">
        <f>$S$4</f>
        <v>AAPL</v>
      </c>
      <c r="D34" s="53">
        <f>CHOOSE($S$3,AJ34,AK34,AL34,AM34,AN34)</f>
        <v>124.86</v>
      </c>
      <c r="E34" s="55">
        <f t="shared" si="1"/>
        <v>7.1535087835425757E-3</v>
      </c>
      <c r="F34" s="55">
        <f t="shared" si="4"/>
        <v>7.1535087835425757E-3</v>
      </c>
      <c r="G34" s="70">
        <f t="shared" si="5"/>
        <v>5.8385189406594991E-3</v>
      </c>
      <c r="H34" s="53"/>
      <c r="I34" s="15">
        <v>42185</v>
      </c>
      <c r="J34" s="55">
        <v>3.3E-3</v>
      </c>
      <c r="K34" s="55">
        <v>3.0000000000000001E-3</v>
      </c>
      <c r="L34" s="55">
        <v>-6.7000000000000002E-3</v>
      </c>
      <c r="M34" s="55">
        <v>0</v>
      </c>
      <c r="N34" s="70">
        <f t="shared" si="6"/>
        <v>2.7908548707753474E-3</v>
      </c>
      <c r="O34" s="70">
        <f t="shared" si="2"/>
        <v>3.0916500994035783E-3</v>
      </c>
      <c r="P34" s="70">
        <f t="shared" si="3"/>
        <v>-6.4015904572564614E-3</v>
      </c>
      <c r="AI34" s="15">
        <v>42185</v>
      </c>
      <c r="AJ34" s="2">
        <v>124.86</v>
      </c>
      <c r="AK34" s="2">
        <v>43.86</v>
      </c>
      <c r="AL34" s="2">
        <v>161.32</v>
      </c>
      <c r="AM34" s="2">
        <v>101.96081215374167</v>
      </c>
      <c r="AN34" s="2">
        <v>48.756251573373696</v>
      </c>
    </row>
    <row r="35" spans="2:40" x14ac:dyDescent="0.35">
      <c r="B35" s="15">
        <v>42184</v>
      </c>
      <c r="C35" s="49" t="str">
        <f>$S$4</f>
        <v>AAPL</v>
      </c>
      <c r="D35" s="53">
        <f>CHOOSE($S$3,AJ35,AK35,AL35,AM35,AN35)</f>
        <v>123.97</v>
      </c>
      <c r="E35" s="55">
        <f t="shared" si="1"/>
        <v>-1.7669858092607977E-2</v>
      </c>
      <c r="F35" s="55">
        <f t="shared" si="4"/>
        <v>-1.7669858092607977E-2</v>
      </c>
      <c r="G35" s="70">
        <f t="shared" si="5"/>
        <v>-1.8984847935491055E-2</v>
      </c>
      <c r="H35" s="53"/>
      <c r="I35" s="15">
        <v>42184</v>
      </c>
      <c r="J35" s="55">
        <v>-2.1499999999999998E-2</v>
      </c>
      <c r="K35" s="55">
        <v>-4.3E-3</v>
      </c>
      <c r="L35" s="55">
        <v>1.8E-3</v>
      </c>
      <c r="M35" s="55">
        <v>0</v>
      </c>
      <c r="N35" s="70">
        <f t="shared" si="6"/>
        <v>-2.2009145129224653E-2</v>
      </c>
      <c r="O35" s="70">
        <f t="shared" si="2"/>
        <v>-4.2083499005964213E-3</v>
      </c>
      <c r="P35" s="70">
        <f t="shared" si="3"/>
        <v>2.0984095427435388E-3</v>
      </c>
      <c r="AI35" s="15">
        <v>42184</v>
      </c>
      <c r="AJ35" s="2">
        <v>123.97</v>
      </c>
      <c r="AK35" s="2">
        <v>44.08</v>
      </c>
      <c r="AL35" s="2">
        <v>161.63</v>
      </c>
      <c r="AM35" s="2">
        <v>101.69539098316872</v>
      </c>
      <c r="AN35" s="2">
        <v>48.925377412154717</v>
      </c>
    </row>
    <row r="36" spans="2:40" x14ac:dyDescent="0.35">
      <c r="B36" s="15">
        <v>42181</v>
      </c>
      <c r="C36" s="49" t="str">
        <f>$S$4</f>
        <v>AAPL</v>
      </c>
      <c r="D36" s="53">
        <f>CHOOSE($S$3,AJ36,AK36,AL36,AM36,AN36)</f>
        <v>126.18</v>
      </c>
      <c r="E36" s="55">
        <f t="shared" si="1"/>
        <v>-5.9262944574223842E-3</v>
      </c>
      <c r="F36" s="55">
        <f t="shared" si="4"/>
        <v>-5.9262944574223842E-3</v>
      </c>
      <c r="G36" s="70">
        <f t="shared" si="5"/>
        <v>-7.2412843003054617E-3</v>
      </c>
      <c r="H36" s="53"/>
      <c r="I36" s="15">
        <v>42181</v>
      </c>
      <c r="J36" s="55">
        <v>-5.9999999999999995E-4</v>
      </c>
      <c r="K36" s="55">
        <v>-2.3E-3</v>
      </c>
      <c r="L36" s="55">
        <v>4.5000000000000005E-3</v>
      </c>
      <c r="M36" s="55">
        <v>0</v>
      </c>
      <c r="N36" s="70">
        <f t="shared" si="6"/>
        <v>-1.1091451292246524E-3</v>
      </c>
      <c r="O36" s="70">
        <f t="shared" si="2"/>
        <v>-2.2083499005964217E-3</v>
      </c>
      <c r="P36" s="70">
        <f t="shared" si="3"/>
        <v>4.7984095427435394E-3</v>
      </c>
      <c r="X36" s="1"/>
      <c r="Y36" s="56"/>
      <c r="Z36" s="56"/>
      <c r="AA36" s="56"/>
      <c r="AB36" s="56"/>
      <c r="AC36" s="56"/>
      <c r="AI36" s="15">
        <v>42181</v>
      </c>
      <c r="AJ36" s="2">
        <v>126.18</v>
      </c>
      <c r="AK36" s="2">
        <v>44.96</v>
      </c>
      <c r="AL36" s="2">
        <v>164.1</v>
      </c>
      <c r="AM36" s="2">
        <v>103.37889259233846</v>
      </c>
      <c r="AN36" s="2">
        <v>49.787577568159641</v>
      </c>
    </row>
    <row r="37" spans="2:40" x14ac:dyDescent="0.35">
      <c r="B37" s="15">
        <v>42180</v>
      </c>
      <c r="C37" s="49" t="str">
        <f>$S$4</f>
        <v>AAPL</v>
      </c>
      <c r="D37" s="53">
        <f>CHOOSE($S$3,AJ37,AK37,AL37,AM37,AN37)</f>
        <v>126.93</v>
      </c>
      <c r="E37" s="55">
        <f t="shared" si="1"/>
        <v>-4.7158776387225777E-3</v>
      </c>
      <c r="F37" s="55">
        <f t="shared" si="4"/>
        <v>-4.7158776387225777E-3</v>
      </c>
      <c r="G37" s="70">
        <f t="shared" si="5"/>
        <v>-6.0308674816056552E-3</v>
      </c>
      <c r="H37" s="53"/>
      <c r="I37" s="15">
        <v>42180</v>
      </c>
      <c r="J37" s="55">
        <v>-2.5000000000000001E-3</v>
      </c>
      <c r="K37" s="55">
        <v>3.7000000000000002E-3</v>
      </c>
      <c r="L37" s="55">
        <v>-2E-3</v>
      </c>
      <c r="M37" s="55">
        <v>0</v>
      </c>
      <c r="N37" s="70">
        <f t="shared" si="6"/>
        <v>-3.0091451292246526E-3</v>
      </c>
      <c r="O37" s="70">
        <f t="shared" si="2"/>
        <v>3.7916500994035784E-3</v>
      </c>
      <c r="P37" s="70">
        <f t="shared" si="3"/>
        <v>-1.7015904572564612E-3</v>
      </c>
      <c r="AI37" s="15">
        <v>42180</v>
      </c>
      <c r="AJ37" s="2">
        <v>126.93</v>
      </c>
      <c r="AK37" s="2">
        <v>45.35</v>
      </c>
      <c r="AL37" s="2">
        <v>164.71</v>
      </c>
      <c r="AM37" s="2">
        <v>103.87827132469444</v>
      </c>
      <c r="AN37" s="2">
        <v>50.09605200898821</v>
      </c>
    </row>
    <row r="38" spans="2:40" x14ac:dyDescent="0.35">
      <c r="B38" s="15">
        <v>42179</v>
      </c>
      <c r="C38" s="49" t="str">
        <f>$S$4</f>
        <v>AAPL</v>
      </c>
      <c r="D38" s="53">
        <f>CHOOSE($S$3,AJ38,AK38,AL38,AM38,AN38)</f>
        <v>127.53</v>
      </c>
      <c r="E38" s="55">
        <f t="shared" si="1"/>
        <v>8.4255784083413672E-3</v>
      </c>
      <c r="F38" s="55">
        <f t="shared" si="4"/>
        <v>8.4255784083413672E-3</v>
      </c>
      <c r="G38" s="70">
        <f t="shared" si="5"/>
        <v>7.1105885654582906E-3</v>
      </c>
      <c r="H38" s="53"/>
      <c r="I38" s="15">
        <v>42179</v>
      </c>
      <c r="J38" s="55">
        <v>-7.9000000000000008E-3</v>
      </c>
      <c r="K38" s="55">
        <v>-1.1000000000000001E-3</v>
      </c>
      <c r="L38" s="55">
        <v>1.2999999999999999E-3</v>
      </c>
      <c r="M38" s="55">
        <v>0</v>
      </c>
      <c r="N38" s="70">
        <f t="shared" si="6"/>
        <v>-8.4091451292246534E-3</v>
      </c>
      <c r="O38" s="70">
        <f t="shared" si="2"/>
        <v>-1.0083499005964218E-3</v>
      </c>
      <c r="P38" s="70">
        <f t="shared" si="3"/>
        <v>1.5984095427435388E-3</v>
      </c>
      <c r="AI38" s="15">
        <v>42179</v>
      </c>
      <c r="AJ38" s="2">
        <v>127.53</v>
      </c>
      <c r="AK38" s="2">
        <v>45.34</v>
      </c>
      <c r="AL38" s="2">
        <v>165.6</v>
      </c>
      <c r="AM38" s="2">
        <v>104.40443820559354</v>
      </c>
      <c r="AN38" s="2">
        <v>50.225874153772615</v>
      </c>
    </row>
    <row r="39" spans="2:40" x14ac:dyDescent="0.35">
      <c r="B39" s="15">
        <v>42178</v>
      </c>
      <c r="C39" s="49" t="str">
        <f>$S$4</f>
        <v>AAPL</v>
      </c>
      <c r="D39" s="53">
        <f>CHOOSE($S$3,AJ39,AK39,AL39,AM39,AN39)</f>
        <v>126.46</v>
      </c>
      <c r="E39" s="55">
        <f t="shared" si="1"/>
        <v>-4.4972264049022341E-3</v>
      </c>
      <c r="F39" s="55">
        <f t="shared" si="4"/>
        <v>-4.4972264049022341E-3</v>
      </c>
      <c r="G39" s="70">
        <f t="shared" si="5"/>
        <v>-5.8122162477853116E-3</v>
      </c>
      <c r="H39" s="53"/>
      <c r="I39" s="15">
        <v>42178</v>
      </c>
      <c r="J39" s="55">
        <v>1.1999999999999999E-3</v>
      </c>
      <c r="K39" s="55">
        <v>2.3999999999999998E-3</v>
      </c>
      <c r="L39" s="55">
        <v>2.7000000000000001E-3</v>
      </c>
      <c r="M39" s="55">
        <v>0</v>
      </c>
      <c r="N39" s="70">
        <f t="shared" si="6"/>
        <v>6.908548707753473E-4</v>
      </c>
      <c r="O39" s="70">
        <f t="shared" si="2"/>
        <v>2.491650099403578E-3</v>
      </c>
      <c r="P39" s="70">
        <f t="shared" si="3"/>
        <v>2.998409542743539E-3</v>
      </c>
      <c r="AI39" s="15">
        <v>42178</v>
      </c>
      <c r="AJ39" s="2">
        <v>126.46</v>
      </c>
      <c r="AK39" s="2">
        <v>45.61</v>
      </c>
      <c r="AL39" s="2">
        <v>167.23</v>
      </c>
      <c r="AM39" s="2">
        <v>104.48027824030973</v>
      </c>
      <c r="AN39" s="2">
        <v>50.622608378558851</v>
      </c>
    </row>
    <row r="40" spans="2:40" x14ac:dyDescent="0.35">
      <c r="B40" s="15">
        <v>42177</v>
      </c>
      <c r="C40" s="49" t="str">
        <f>$S$4</f>
        <v>AAPL</v>
      </c>
      <c r="D40" s="53">
        <f>CHOOSE($S$3,AJ40,AK40,AL40,AM40,AN40)</f>
        <v>127.03</v>
      </c>
      <c r="E40" s="55">
        <f t="shared" si="1"/>
        <v>7.9033051859689184E-3</v>
      </c>
      <c r="F40" s="55">
        <f t="shared" si="4"/>
        <v>7.9033051859689184E-3</v>
      </c>
      <c r="G40" s="70">
        <f t="shared" si="5"/>
        <v>6.5883153430858418E-3</v>
      </c>
      <c r="H40" s="53"/>
      <c r="I40" s="15">
        <v>42177</v>
      </c>
      <c r="J40" s="55">
        <v>6.3E-3</v>
      </c>
      <c r="K40" s="55">
        <v>8.0000000000000004E-4</v>
      </c>
      <c r="L40" s="55">
        <v>-5.9999999999999995E-4</v>
      </c>
      <c r="M40" s="55">
        <v>0</v>
      </c>
      <c r="N40" s="70">
        <f t="shared" si="6"/>
        <v>5.7908548707753475E-3</v>
      </c>
      <c r="O40" s="70">
        <f t="shared" si="2"/>
        <v>8.9165009940357838E-4</v>
      </c>
      <c r="P40" s="70">
        <f t="shared" si="3"/>
        <v>-3.0159045725646112E-4</v>
      </c>
      <c r="X40" s="18"/>
      <c r="AI40" s="15">
        <v>42177</v>
      </c>
      <c r="AJ40" s="2">
        <v>127.03</v>
      </c>
      <c r="AK40" s="2">
        <v>45.93</v>
      </c>
      <c r="AL40" s="2">
        <v>166.35</v>
      </c>
      <c r="AM40" s="2">
        <v>104.44084426908066</v>
      </c>
      <c r="AN40" s="2">
        <v>50.666999129822976</v>
      </c>
    </row>
    <row r="41" spans="2:40" x14ac:dyDescent="0.35">
      <c r="B41" s="15">
        <v>42174</v>
      </c>
      <c r="C41" s="49" t="str">
        <f>$S$4</f>
        <v>AAPL</v>
      </c>
      <c r="D41" s="53">
        <f>CHOOSE($S$3,AJ41,AK41,AL41,AM41,AN41)</f>
        <v>126.03</v>
      </c>
      <c r="E41" s="55">
        <f t="shared" si="1"/>
        <v>-1.0026531713960399E-2</v>
      </c>
      <c r="F41" s="55">
        <f t="shared" si="4"/>
        <v>-1.0026531713960399E-2</v>
      </c>
      <c r="G41" s="70">
        <f t="shared" si="5"/>
        <v>-1.1341521556843476E-2</v>
      </c>
      <c r="H41" s="53"/>
      <c r="I41" s="15">
        <v>42174</v>
      </c>
      <c r="J41" s="55">
        <v>-4.3E-3</v>
      </c>
      <c r="K41" s="55">
        <v>5.5000000000000005E-3</v>
      </c>
      <c r="L41" s="55">
        <v>-2E-3</v>
      </c>
      <c r="M41" s="55">
        <v>0</v>
      </c>
      <c r="N41" s="70">
        <f t="shared" si="6"/>
        <v>-4.8091451292246526E-3</v>
      </c>
      <c r="O41" s="70">
        <f t="shared" si="2"/>
        <v>5.5916500994035792E-3</v>
      </c>
      <c r="P41" s="70">
        <f t="shared" si="3"/>
        <v>-1.7015904572564612E-3</v>
      </c>
      <c r="X41" s="18"/>
      <c r="AI41" s="15">
        <v>42174</v>
      </c>
      <c r="AJ41" s="2">
        <v>126.03</v>
      </c>
      <c r="AK41" s="2">
        <v>45.8</v>
      </c>
      <c r="AL41" s="2">
        <v>165.62</v>
      </c>
      <c r="AM41" s="2">
        <v>103.80059609549217</v>
      </c>
      <c r="AN41" s="2">
        <v>50.484123387872387</v>
      </c>
    </row>
    <row r="42" spans="2:40" x14ac:dyDescent="0.35">
      <c r="B42" s="15">
        <v>42173</v>
      </c>
      <c r="C42" s="49" t="str">
        <f>$S$4</f>
        <v>AAPL</v>
      </c>
      <c r="D42" s="53">
        <f>CHOOSE($S$3,AJ42,AK42,AL42,AM42,AN42)</f>
        <v>127.3</v>
      </c>
      <c r="E42" s="55">
        <f t="shared" si="1"/>
        <v>4.4876664693879768E-3</v>
      </c>
      <c r="F42" s="55">
        <f t="shared" si="4"/>
        <v>4.4876664693879768E-3</v>
      </c>
      <c r="G42" s="70">
        <f t="shared" si="5"/>
        <v>3.1726766265048998E-3</v>
      </c>
      <c r="H42" s="53"/>
      <c r="I42" s="15">
        <v>42173</v>
      </c>
      <c r="J42" s="55">
        <v>9.8999999999999991E-3</v>
      </c>
      <c r="K42" s="55">
        <v>2.0999999999999999E-3</v>
      </c>
      <c r="L42" s="55">
        <v>-4.3E-3</v>
      </c>
      <c r="M42" s="55">
        <v>0</v>
      </c>
      <c r="N42" s="70">
        <f t="shared" si="6"/>
        <v>9.3908548707753465E-3</v>
      </c>
      <c r="O42" s="70">
        <f t="shared" si="2"/>
        <v>2.1916500994035781E-3</v>
      </c>
      <c r="P42" s="70">
        <f t="shared" si="3"/>
        <v>-4.0015904572564612E-3</v>
      </c>
      <c r="AI42" s="15">
        <v>42173</v>
      </c>
      <c r="AJ42" s="2">
        <v>127.3</v>
      </c>
      <c r="AK42" s="2">
        <v>46.41</v>
      </c>
      <c r="AL42" s="2">
        <v>166.86</v>
      </c>
      <c r="AM42" s="2">
        <v>104.7121721144171</v>
      </c>
      <c r="AN42" s="2">
        <v>51.009304568254976</v>
      </c>
    </row>
    <row r="43" spans="2:40" x14ac:dyDescent="0.35">
      <c r="B43" s="15">
        <v>42172</v>
      </c>
      <c r="C43" s="49" t="str">
        <f>$S$4</f>
        <v>AAPL</v>
      </c>
      <c r="D43" s="53">
        <f>CHOOSE($S$3,AJ43,AK43,AL43,AM43,AN43)</f>
        <v>126.73</v>
      </c>
      <c r="E43" s="55">
        <f t="shared" si="1"/>
        <v>-2.3644399413964971E-3</v>
      </c>
      <c r="F43" s="55">
        <f t="shared" si="4"/>
        <v>-2.3644399413964971E-3</v>
      </c>
      <c r="G43" s="70">
        <f t="shared" si="5"/>
        <v>-3.6794297842795741E-3</v>
      </c>
      <c r="H43" s="53"/>
      <c r="I43" s="15">
        <v>42172</v>
      </c>
      <c r="J43" s="55">
        <v>1.6000000000000001E-3</v>
      </c>
      <c r="K43" s="55">
        <v>-2.8999999999999998E-3</v>
      </c>
      <c r="L43" s="55">
        <v>-6.3E-3</v>
      </c>
      <c r="M43" s="55">
        <v>0</v>
      </c>
      <c r="N43" s="70">
        <f t="shared" si="6"/>
        <v>1.0908548707753475E-3</v>
      </c>
      <c r="O43" s="70">
        <f t="shared" si="2"/>
        <v>-2.8083499005964216E-3</v>
      </c>
      <c r="P43" s="70">
        <f t="shared" si="3"/>
        <v>-6.0015904572564612E-3</v>
      </c>
      <c r="AI43" s="15">
        <v>42172</v>
      </c>
      <c r="AJ43" s="2">
        <v>126.73</v>
      </c>
      <c r="AK43" s="2">
        <v>45.67</v>
      </c>
      <c r="AL43" s="2">
        <v>165.79</v>
      </c>
      <c r="AM43" s="2">
        <v>104.14200526032965</v>
      </c>
      <c r="AN43" s="2">
        <v>50.439086832247277</v>
      </c>
    </row>
    <row r="44" spans="2:40" x14ac:dyDescent="0.35">
      <c r="B44" s="15">
        <v>42171</v>
      </c>
      <c r="C44" s="49" t="str">
        <f>$S$4</f>
        <v>AAPL</v>
      </c>
      <c r="D44" s="53">
        <f>CHOOSE($S$3,AJ44,AK44,AL44,AM44,AN44)</f>
        <v>127.03</v>
      </c>
      <c r="E44" s="55">
        <f t="shared" si="1"/>
        <v>5.367445201166136E-3</v>
      </c>
      <c r="F44" s="55">
        <f t="shared" si="4"/>
        <v>5.367445201166136E-3</v>
      </c>
      <c r="G44" s="70">
        <f t="shared" si="5"/>
        <v>4.0524553582830594E-3</v>
      </c>
      <c r="H44" s="53"/>
      <c r="I44" s="15">
        <v>42171</v>
      </c>
      <c r="J44" s="55">
        <v>5.6999999999999993E-3</v>
      </c>
      <c r="K44" s="55">
        <v>1E-3</v>
      </c>
      <c r="L44" s="55">
        <v>0</v>
      </c>
      <c r="M44" s="55">
        <v>0</v>
      </c>
      <c r="N44" s="70">
        <f t="shared" si="6"/>
        <v>5.1908548707753467E-3</v>
      </c>
      <c r="O44" s="70">
        <f t="shared" si="2"/>
        <v>1.0916500994035782E-3</v>
      </c>
      <c r="P44" s="70">
        <f t="shared" si="3"/>
        <v>2.9840954274353883E-4</v>
      </c>
      <c r="AI44" s="15">
        <v>42171</v>
      </c>
      <c r="AJ44" s="2">
        <v>127.03</v>
      </c>
      <c r="AK44" s="2">
        <v>45.53</v>
      </c>
      <c r="AL44" s="2">
        <v>165.47</v>
      </c>
      <c r="AM44" s="2">
        <v>104.16476470572596</v>
      </c>
      <c r="AN44" s="2">
        <v>50.313099519356129</v>
      </c>
    </row>
    <row r="45" spans="2:40" x14ac:dyDescent="0.35">
      <c r="B45" s="15">
        <v>42170</v>
      </c>
      <c r="C45" s="49" t="str">
        <f>$S$4</f>
        <v>AAPL</v>
      </c>
      <c r="D45" s="53">
        <f>CHOOSE($S$3,AJ45,AK45,AL45,AM45,AN45)</f>
        <v>126.35</v>
      </c>
      <c r="E45" s="55">
        <f t="shared" si="1"/>
        <v>-1.9766758758725362E-3</v>
      </c>
      <c r="F45" s="55">
        <f t="shared" si="4"/>
        <v>-1.9766758758725362E-3</v>
      </c>
      <c r="G45" s="70">
        <f t="shared" si="5"/>
        <v>-3.2916657187556132E-3</v>
      </c>
      <c r="H45" s="53"/>
      <c r="I45" s="15">
        <v>42170</v>
      </c>
      <c r="J45" s="55">
        <v>-4.5000000000000005E-3</v>
      </c>
      <c r="K45" s="55">
        <v>1.1000000000000001E-3</v>
      </c>
      <c r="L45" s="55">
        <v>-1.2999999999999999E-3</v>
      </c>
      <c r="M45" s="55">
        <v>0</v>
      </c>
      <c r="N45" s="70">
        <f t="shared" si="6"/>
        <v>-5.0091451292246531E-3</v>
      </c>
      <c r="O45" s="70">
        <f t="shared" si="2"/>
        <v>1.1916500994035783E-3</v>
      </c>
      <c r="P45" s="70">
        <f t="shared" si="3"/>
        <v>-1.0015904572564611E-3</v>
      </c>
      <c r="AI45" s="15">
        <v>42170</v>
      </c>
      <c r="AJ45" s="2">
        <v>126.35</v>
      </c>
      <c r="AK45" s="2">
        <v>45.18</v>
      </c>
      <c r="AL45" s="2">
        <v>164.89</v>
      </c>
      <c r="AM45" s="2">
        <v>103.7034068117844</v>
      </c>
      <c r="AN45" s="2">
        <v>50.031537193774028</v>
      </c>
    </row>
    <row r="46" spans="2:40" x14ac:dyDescent="0.35">
      <c r="B46" s="15">
        <v>42167</v>
      </c>
      <c r="C46" s="49" t="str">
        <f>$S$4</f>
        <v>AAPL</v>
      </c>
      <c r="D46" s="53">
        <f>CHOOSE($S$3,AJ46,AK46,AL46,AM46,AN46)</f>
        <v>126.6</v>
      </c>
      <c r="E46" s="55">
        <f t="shared" si="1"/>
        <v>-1.1075876157942421E-2</v>
      </c>
      <c r="F46" s="55">
        <f t="shared" si="4"/>
        <v>-1.1075876157942421E-2</v>
      </c>
      <c r="G46" s="70">
        <f t="shared" si="5"/>
        <v>-1.2390866000825498E-2</v>
      </c>
      <c r="H46" s="53"/>
      <c r="I46" s="15">
        <v>42167</v>
      </c>
      <c r="J46" s="55">
        <v>-6.3E-3</v>
      </c>
      <c r="K46" s="55">
        <v>3.3E-3</v>
      </c>
      <c r="L46" s="55">
        <v>1.2999999999999999E-3</v>
      </c>
      <c r="M46" s="55">
        <v>0</v>
      </c>
      <c r="N46" s="70">
        <f t="shared" si="6"/>
        <v>-6.8091451292246526E-3</v>
      </c>
      <c r="O46" s="70">
        <f t="shared" si="2"/>
        <v>3.3916500994035782E-3</v>
      </c>
      <c r="P46" s="70">
        <f t="shared" si="3"/>
        <v>1.5984095427435388E-3</v>
      </c>
      <c r="AI46" s="15">
        <v>42167</v>
      </c>
      <c r="AJ46" s="2">
        <v>126.6</v>
      </c>
      <c r="AK46" s="2">
        <v>45.67</v>
      </c>
      <c r="AL46" s="2">
        <v>165.62</v>
      </c>
      <c r="AM46" s="2">
        <v>104.03555973286785</v>
      </c>
      <c r="AN46" s="2">
        <v>50.413595541542421</v>
      </c>
    </row>
    <row r="47" spans="2:40" x14ac:dyDescent="0.35">
      <c r="B47" s="15">
        <v>42166</v>
      </c>
      <c r="C47" s="49" t="str">
        <f>$S$4</f>
        <v>AAPL</v>
      </c>
      <c r="D47" s="53">
        <f>CHOOSE($S$3,AJ47,AK47,AL47,AM47,AN47)</f>
        <v>128.01</v>
      </c>
      <c r="E47" s="55">
        <f t="shared" si="1"/>
        <v>-2.2628857535725803E-3</v>
      </c>
      <c r="F47" s="55">
        <f t="shared" si="4"/>
        <v>-2.2628857535725803E-3</v>
      </c>
      <c r="G47" s="70">
        <f t="shared" si="5"/>
        <v>-3.5778755964556573E-3</v>
      </c>
      <c r="H47" s="53"/>
      <c r="I47" s="15">
        <v>42166</v>
      </c>
      <c r="J47" s="55">
        <v>2.0999999999999999E-3</v>
      </c>
      <c r="K47" s="55">
        <v>-1E-3</v>
      </c>
      <c r="L47" s="55">
        <v>-1.1000000000000001E-3</v>
      </c>
      <c r="M47" s="55">
        <v>0</v>
      </c>
      <c r="N47" s="70">
        <f t="shared" si="6"/>
        <v>1.5908548707753473E-3</v>
      </c>
      <c r="O47" s="70">
        <f t="shared" si="2"/>
        <v>-9.0834990059642168E-4</v>
      </c>
      <c r="P47" s="70">
        <f t="shared" si="3"/>
        <v>-8.0159045725646124E-4</v>
      </c>
      <c r="AI47" s="15">
        <v>42166</v>
      </c>
      <c r="AJ47" s="2">
        <v>128.01</v>
      </c>
      <c r="AK47" s="2">
        <v>46.14</v>
      </c>
      <c r="AL47" s="2">
        <v>167.39</v>
      </c>
      <c r="AM47" s="2">
        <v>105.17082467428838</v>
      </c>
      <c r="AN47" s="2">
        <v>50.942392181936363</v>
      </c>
    </row>
    <row r="48" spans="2:40" x14ac:dyDescent="0.35">
      <c r="B48" s="15">
        <v>42165</v>
      </c>
      <c r="C48" s="49" t="str">
        <f>$S$4</f>
        <v>AAPL</v>
      </c>
      <c r="D48" s="53">
        <f>CHOOSE($S$3,AJ48,AK48,AL48,AM48,AN48)</f>
        <v>128.30000000000001</v>
      </c>
      <c r="E48" s="55">
        <f t="shared" si="1"/>
        <v>1.1365985576300072E-2</v>
      </c>
      <c r="F48" s="55">
        <f t="shared" si="4"/>
        <v>1.1365985576300072E-2</v>
      </c>
      <c r="G48" s="70">
        <f t="shared" si="5"/>
        <v>1.0050995733416996E-2</v>
      </c>
      <c r="H48" s="53"/>
      <c r="I48" s="15">
        <v>42165</v>
      </c>
      <c r="J48" s="55">
        <v>1.2E-2</v>
      </c>
      <c r="K48" s="55">
        <v>1.5E-3</v>
      </c>
      <c r="L48" s="55">
        <v>1.9E-3</v>
      </c>
      <c r="M48" s="55">
        <v>0</v>
      </c>
      <c r="N48" s="70">
        <f t="shared" si="6"/>
        <v>1.1490854870775348E-2</v>
      </c>
      <c r="O48" s="70">
        <f t="shared" si="2"/>
        <v>1.5916500994035783E-3</v>
      </c>
      <c r="P48" s="70">
        <f t="shared" si="3"/>
        <v>2.1984095427435386E-3</v>
      </c>
      <c r="AI48" s="15">
        <v>42165</v>
      </c>
      <c r="AJ48" s="2">
        <v>128.30000000000001</v>
      </c>
      <c r="AK48" s="2">
        <v>46.3</v>
      </c>
      <c r="AL48" s="2">
        <v>167.53</v>
      </c>
      <c r="AM48" s="2">
        <v>105.3339350615112</v>
      </c>
      <c r="AN48" s="2">
        <v>51.052022174563668</v>
      </c>
    </row>
    <row r="49" spans="2:40" x14ac:dyDescent="0.35">
      <c r="B49" s="15">
        <v>42164</v>
      </c>
      <c r="C49" s="49" t="str">
        <f>$S$4</f>
        <v>AAPL</v>
      </c>
      <c r="D49" s="53">
        <f>CHOOSE($S$3,AJ49,AK49,AL49,AM49,AN49)</f>
        <v>126.85</v>
      </c>
      <c r="E49" s="55">
        <f t="shared" si="1"/>
        <v>-2.9125852053673495E-3</v>
      </c>
      <c r="F49" s="55">
        <f t="shared" si="4"/>
        <v>-2.9125852053673495E-3</v>
      </c>
      <c r="G49" s="70">
        <f t="shared" si="5"/>
        <v>-4.227575048250427E-3</v>
      </c>
      <c r="H49" s="53"/>
      <c r="I49" s="15">
        <v>42164</v>
      </c>
      <c r="J49" s="55">
        <v>2.0000000000000001E-4</v>
      </c>
      <c r="K49" s="55">
        <v>-3.0000000000000001E-3</v>
      </c>
      <c r="L49" s="55">
        <v>3.4999999999999996E-3</v>
      </c>
      <c r="M49" s="55">
        <v>0</v>
      </c>
      <c r="N49" s="70">
        <f t="shared" si="6"/>
        <v>-3.0914512922465261E-4</v>
      </c>
      <c r="O49" s="70">
        <f t="shared" si="2"/>
        <v>-2.9083499005964218E-3</v>
      </c>
      <c r="P49" s="70">
        <f t="shared" si="3"/>
        <v>3.7984095427435385E-3</v>
      </c>
      <c r="AI49" s="15">
        <v>42164</v>
      </c>
      <c r="AJ49" s="2">
        <v>126.85</v>
      </c>
      <c r="AK49" s="2">
        <v>45.35</v>
      </c>
      <c r="AL49" s="2">
        <v>164.32</v>
      </c>
      <c r="AM49" s="2">
        <v>103.72957366627945</v>
      </c>
      <c r="AN49" s="2">
        <v>50.039172878443949</v>
      </c>
    </row>
    <row r="50" spans="2:40" x14ac:dyDescent="0.35">
      <c r="B50" s="15">
        <v>42163</v>
      </c>
      <c r="C50" s="49" t="str">
        <f>$S$4</f>
        <v>AAPL</v>
      </c>
      <c r="D50" s="53">
        <f>CHOOSE($S$3,AJ50,AK50,AL50,AM50,AN50)</f>
        <v>127.22</v>
      </c>
      <c r="E50" s="55">
        <f t="shared" si="1"/>
        <v>-6.6591181873221642E-3</v>
      </c>
      <c r="F50" s="55">
        <f t="shared" si="4"/>
        <v>-6.6591181873221642E-3</v>
      </c>
      <c r="G50" s="70">
        <f t="shared" si="5"/>
        <v>-7.9741080302052417E-3</v>
      </c>
      <c r="H50" s="53"/>
      <c r="I50" s="15">
        <v>42163</v>
      </c>
      <c r="J50" s="55">
        <v>-6.6E-3</v>
      </c>
      <c r="K50" s="55">
        <v>2.9999999999999997E-4</v>
      </c>
      <c r="L50" s="55">
        <v>2.9999999999999997E-4</v>
      </c>
      <c r="M50" s="55">
        <v>0</v>
      </c>
      <c r="N50" s="70">
        <f t="shared" si="6"/>
        <v>-7.1091451292246526E-3</v>
      </c>
      <c r="O50" s="70">
        <f t="shared" si="2"/>
        <v>3.9165009940357826E-4</v>
      </c>
      <c r="P50" s="70">
        <f t="shared" si="3"/>
        <v>5.9840954274353875E-4</v>
      </c>
      <c r="AI50" s="15">
        <v>42163</v>
      </c>
      <c r="AJ50" s="2">
        <v>127.22</v>
      </c>
      <c r="AK50" s="2">
        <v>45.43</v>
      </c>
      <c r="AL50" s="2">
        <v>163.98</v>
      </c>
      <c r="AM50" s="2">
        <v>103.77353931664381</v>
      </c>
      <c r="AN50" s="2">
        <v>50.031540001430521</v>
      </c>
    </row>
    <row r="51" spans="2:40" x14ac:dyDescent="0.35">
      <c r="B51" s="15">
        <v>42160</v>
      </c>
      <c r="C51" s="49" t="str">
        <f>$S$4</f>
        <v>AAPL</v>
      </c>
      <c r="D51" s="53">
        <f>CHOOSE($S$3,AJ51,AK51,AL51,AM51,AN51)</f>
        <v>128.07</v>
      </c>
      <c r="E51" s="55">
        <f t="shared" si="1"/>
        <v>-5.5285326720571609E-3</v>
      </c>
      <c r="F51" s="55">
        <f t="shared" si="4"/>
        <v>-5.5285326720571609E-3</v>
      </c>
      <c r="G51" s="70">
        <f t="shared" si="5"/>
        <v>-6.8435225149402375E-3</v>
      </c>
      <c r="H51" s="53"/>
      <c r="I51" s="15">
        <v>42160</v>
      </c>
      <c r="J51" s="55">
        <v>5.9999999999999995E-4</v>
      </c>
      <c r="K51" s="55">
        <v>8.0000000000000002E-3</v>
      </c>
      <c r="L51" s="55">
        <v>5.0000000000000001E-4</v>
      </c>
      <c r="M51" s="55">
        <v>0</v>
      </c>
      <c r="N51" s="70">
        <f t="shared" si="6"/>
        <v>9.0854870775347357E-5</v>
      </c>
      <c r="O51" s="70">
        <f t="shared" si="2"/>
        <v>8.091650099403578E-3</v>
      </c>
      <c r="P51" s="70">
        <f t="shared" si="3"/>
        <v>7.9840954274353884E-4</v>
      </c>
      <c r="AI51" s="15">
        <v>42160</v>
      </c>
      <c r="AJ51" s="2">
        <v>128.07</v>
      </c>
      <c r="AK51" s="2">
        <v>45.84</v>
      </c>
      <c r="AL51" s="2">
        <v>166.02</v>
      </c>
      <c r="AM51" s="2">
        <v>104.76571194848911</v>
      </c>
      <c r="AN51" s="2">
        <v>50.568513885067517</v>
      </c>
    </row>
    <row r="52" spans="2:40" x14ac:dyDescent="0.35">
      <c r="B52" s="15">
        <v>42159</v>
      </c>
      <c r="C52" s="49" t="str">
        <f>$S$4</f>
        <v>AAPL</v>
      </c>
      <c r="D52" s="53">
        <f>CHOOSE($S$3,AJ52,AK52,AL52,AM52,AN52)</f>
        <v>128.78</v>
      </c>
      <c r="E52" s="55">
        <f t="shared" si="1"/>
        <v>-5.8069924321272094E-3</v>
      </c>
      <c r="F52" s="55">
        <f t="shared" si="4"/>
        <v>-5.8069924321272094E-3</v>
      </c>
      <c r="G52" s="70">
        <f t="shared" si="5"/>
        <v>-7.121982275010286E-3</v>
      </c>
      <c r="H52" s="53"/>
      <c r="I52" s="15">
        <v>42159</v>
      </c>
      <c r="J52" s="55">
        <v>-8.8000000000000005E-3</v>
      </c>
      <c r="K52" s="55">
        <v>-1E-3</v>
      </c>
      <c r="L52" s="55">
        <v>-1E-4</v>
      </c>
      <c r="M52" s="55">
        <v>0</v>
      </c>
      <c r="N52" s="70">
        <f t="shared" si="6"/>
        <v>-9.3091451292246531E-3</v>
      </c>
      <c r="O52" s="70">
        <f t="shared" si="2"/>
        <v>-9.0834990059642168E-4</v>
      </c>
      <c r="P52" s="70">
        <f t="shared" si="3"/>
        <v>1.9840954274353884E-4</v>
      </c>
      <c r="AI52" s="15">
        <v>42159</v>
      </c>
      <c r="AJ52" s="2">
        <v>128.78</v>
      </c>
      <c r="AK52" s="2">
        <v>46.06</v>
      </c>
      <c r="AL52" s="2">
        <v>166.99</v>
      </c>
      <c r="AM52" s="2">
        <v>105.36217000689709</v>
      </c>
      <c r="AN52" s="2">
        <v>50.837588226282413</v>
      </c>
    </row>
    <row r="53" spans="2:40" x14ac:dyDescent="0.35">
      <c r="B53" s="15">
        <v>42158</v>
      </c>
      <c r="C53" s="49" t="str">
        <f>$S$4</f>
        <v>AAPL</v>
      </c>
      <c r="D53" s="53">
        <f>CHOOSE($S$3,AJ53,AK53,AL53,AM53,AN53)</f>
        <v>129.53</v>
      </c>
      <c r="E53" s="55">
        <f t="shared" si="1"/>
        <v>1.235998612353971E-3</v>
      </c>
      <c r="F53" s="55">
        <f t="shared" si="4"/>
        <v>1.235998612353971E-3</v>
      </c>
      <c r="G53" s="70">
        <f t="shared" si="5"/>
        <v>-7.8991230529106048E-5</v>
      </c>
      <c r="H53" s="53"/>
      <c r="I53" s="15">
        <v>42158</v>
      </c>
      <c r="J53" s="55">
        <v>3.9000000000000003E-3</v>
      </c>
      <c r="K53" s="55">
        <v>8.6999999999999994E-3</v>
      </c>
      <c r="L53" s="55">
        <v>-2.3999999999999998E-3</v>
      </c>
      <c r="M53" s="55">
        <v>0</v>
      </c>
      <c r="N53" s="70">
        <f t="shared" si="6"/>
        <v>3.3908548707753477E-3</v>
      </c>
      <c r="O53" s="70">
        <f t="shared" si="2"/>
        <v>8.7916500994035772E-3</v>
      </c>
      <c r="P53" s="70">
        <f t="shared" si="3"/>
        <v>-2.101590457256461E-3</v>
      </c>
      <c r="AI53" s="15">
        <v>42158</v>
      </c>
      <c r="AJ53" s="2">
        <v>129.53</v>
      </c>
      <c r="AK53" s="2">
        <v>46.54</v>
      </c>
      <c r="AL53" s="2">
        <v>168.52</v>
      </c>
      <c r="AM53" s="2">
        <v>106.15165459327859</v>
      </c>
      <c r="AN53" s="2">
        <v>51.335375021100653</v>
      </c>
    </row>
    <row r="54" spans="2:40" x14ac:dyDescent="0.35">
      <c r="B54" s="15">
        <v>42157</v>
      </c>
      <c r="C54" s="49" t="str">
        <f>$S$4</f>
        <v>AAPL</v>
      </c>
      <c r="D54" s="53">
        <f>CHOOSE($S$3,AJ54,AK54,AL54,AM54,AN54)</f>
        <v>129.37</v>
      </c>
      <c r="E54" s="55">
        <f t="shared" si="1"/>
        <v>-4.473245157688573E-3</v>
      </c>
      <c r="F54" s="55">
        <f t="shared" si="4"/>
        <v>-4.473245157688573E-3</v>
      </c>
      <c r="G54" s="70">
        <f t="shared" si="5"/>
        <v>-5.7882350005716496E-3</v>
      </c>
      <c r="H54" s="53"/>
      <c r="I54" s="15">
        <v>42157</v>
      </c>
      <c r="J54" s="55">
        <v>-2.0000000000000001E-4</v>
      </c>
      <c r="K54" s="55">
        <v>3.3E-3</v>
      </c>
      <c r="L54" s="55">
        <v>3.3E-3</v>
      </c>
      <c r="M54" s="55">
        <v>0</v>
      </c>
      <c r="N54" s="70">
        <f t="shared" si="6"/>
        <v>-7.0914512922465257E-4</v>
      </c>
      <c r="O54" s="70">
        <f t="shared" si="2"/>
        <v>3.3916500994035782E-3</v>
      </c>
      <c r="P54" s="70">
        <f t="shared" si="3"/>
        <v>3.5984095427435388E-3</v>
      </c>
      <c r="AI54" s="15">
        <v>42157</v>
      </c>
      <c r="AJ54" s="2">
        <v>129.37</v>
      </c>
      <c r="AK54" s="2">
        <v>46.61</v>
      </c>
      <c r="AL54" s="2">
        <v>168.25</v>
      </c>
      <c r="AM54" s="2">
        <v>106.00105624320136</v>
      </c>
      <c r="AN54" s="2">
        <v>51.332856989964775</v>
      </c>
    </row>
    <row r="55" spans="2:40" x14ac:dyDescent="0.35">
      <c r="B55" s="15">
        <v>42156</v>
      </c>
      <c r="C55" s="49" t="str">
        <f>$S$4</f>
        <v>AAPL</v>
      </c>
      <c r="D55" s="53">
        <f>CHOOSE($S$3,AJ55,AK55,AL55,AM55,AN55)</f>
        <v>129.94999999999999</v>
      </c>
      <c r="E55" s="55">
        <f t="shared" si="1"/>
        <v>2.0027737398491709E-3</v>
      </c>
      <c r="F55" s="55">
        <f t="shared" si="4"/>
        <v>2.0027737398491709E-3</v>
      </c>
      <c r="G55" s="70">
        <f t="shared" si="5"/>
        <v>6.8778389696609382E-4</v>
      </c>
      <c r="H55" s="53"/>
      <c r="I55" s="15">
        <v>42156</v>
      </c>
      <c r="J55" s="55">
        <v>1.7000000000000001E-3</v>
      </c>
      <c r="K55" s="55">
        <v>-4.0000000000000002E-4</v>
      </c>
      <c r="L55" s="55">
        <v>-2.2000000000000001E-3</v>
      </c>
      <c r="M55" s="55">
        <v>0</v>
      </c>
      <c r="N55" s="70">
        <f t="shared" si="6"/>
        <v>1.1908548707753475E-3</v>
      </c>
      <c r="O55" s="70">
        <f t="shared" si="2"/>
        <v>-3.0834990059642174E-4</v>
      </c>
      <c r="P55" s="70">
        <f t="shared" si="3"/>
        <v>-1.9015904572564613E-3</v>
      </c>
      <c r="AI55" s="15">
        <v>42156</v>
      </c>
      <c r="AJ55" s="2">
        <v>129.94999999999999</v>
      </c>
      <c r="AK55" s="2">
        <v>46.92</v>
      </c>
      <c r="AL55" s="2">
        <v>168.78</v>
      </c>
      <c r="AM55" s="2">
        <v>106.40562725997287</v>
      </c>
      <c r="AN55" s="2">
        <v>51.584413849947332</v>
      </c>
    </row>
    <row r="56" spans="2:40" x14ac:dyDescent="0.35">
      <c r="B56" s="15">
        <v>42153</v>
      </c>
      <c r="C56" s="49" t="str">
        <f>$S$4</f>
        <v>AAPL</v>
      </c>
      <c r="D56" s="53">
        <f>CHOOSE($S$3,AJ56,AK56,AL56,AM56,AN56)</f>
        <v>129.69</v>
      </c>
      <c r="E56" s="55">
        <f t="shared" si="1"/>
        <v>-1.1499666745288861E-2</v>
      </c>
      <c r="F56" s="55">
        <f t="shared" si="4"/>
        <v>-1.1499666745288861E-2</v>
      </c>
      <c r="G56" s="70">
        <f t="shared" si="5"/>
        <v>-1.2814656588171937E-2</v>
      </c>
      <c r="H56" s="53"/>
      <c r="I56" s="15">
        <v>42153</v>
      </c>
      <c r="J56" s="55">
        <v>-5.7999999999999996E-3</v>
      </c>
      <c r="K56" s="55">
        <v>2.9999999999999997E-4</v>
      </c>
      <c r="L56" s="55">
        <v>5.9999999999999995E-4</v>
      </c>
      <c r="M56" s="55">
        <v>0</v>
      </c>
      <c r="N56" s="70">
        <f t="shared" si="6"/>
        <v>-6.3091451292246522E-3</v>
      </c>
      <c r="O56" s="70">
        <f t="shared" si="2"/>
        <v>3.9165009940357826E-4</v>
      </c>
      <c r="P56" s="70">
        <f t="shared" si="3"/>
        <v>8.9840954274353878E-4</v>
      </c>
      <c r="AI56" s="15">
        <v>42153</v>
      </c>
      <c r="AJ56" s="2">
        <v>129.69</v>
      </c>
      <c r="AK56" s="2">
        <v>46.55</v>
      </c>
      <c r="AL56" s="2">
        <v>168.25</v>
      </c>
      <c r="AM56" s="2">
        <v>106.13211414815424</v>
      </c>
      <c r="AN56" s="2">
        <v>51.300030382404969</v>
      </c>
    </row>
    <row r="57" spans="2:40" x14ac:dyDescent="0.35">
      <c r="B57" s="15">
        <v>42152</v>
      </c>
      <c r="C57" s="49" t="str">
        <f>$S$4</f>
        <v>AAPL</v>
      </c>
      <c r="D57" s="53">
        <f>CHOOSE($S$3,AJ57,AK57,AL57,AM57,AN57)</f>
        <v>131.19</v>
      </c>
      <c r="E57" s="55">
        <f t="shared" si="1"/>
        <v>-1.9798970829511876E-3</v>
      </c>
      <c r="F57" s="55">
        <f t="shared" si="4"/>
        <v>-1.9798970829511876E-3</v>
      </c>
      <c r="G57" s="70">
        <f t="shared" si="5"/>
        <v>-3.2948869258342646E-3</v>
      </c>
      <c r="H57" s="53"/>
      <c r="I57" s="15">
        <v>42152</v>
      </c>
      <c r="J57" s="55">
        <v>-1.1999999999999999E-3</v>
      </c>
      <c r="K57" s="55">
        <v>1E-3</v>
      </c>
      <c r="L57" s="55">
        <v>1.2999999999999999E-3</v>
      </c>
      <c r="M57" s="55">
        <v>0</v>
      </c>
      <c r="N57" s="70">
        <f t="shared" si="6"/>
        <v>-1.7091451292246525E-3</v>
      </c>
      <c r="O57" s="70">
        <f t="shared" si="2"/>
        <v>1.0916500994035782E-3</v>
      </c>
      <c r="P57" s="70">
        <f t="shared" si="3"/>
        <v>1.5984095427435388E-3</v>
      </c>
      <c r="AI57" s="15">
        <v>42152</v>
      </c>
      <c r="AJ57" s="2">
        <v>131.19</v>
      </c>
      <c r="AK57" s="2">
        <v>47.14</v>
      </c>
      <c r="AL57" s="2">
        <v>170.3</v>
      </c>
      <c r="AM57" s="2">
        <v>107.39244848456721</v>
      </c>
      <c r="AN57" s="2">
        <v>51.937658803828029</v>
      </c>
    </row>
    <row r="58" spans="2:40" x14ac:dyDescent="0.35">
      <c r="B58" s="15">
        <v>42151</v>
      </c>
      <c r="C58" s="49" t="str">
        <f>$S$4</f>
        <v>AAPL</v>
      </c>
      <c r="D58" s="53">
        <f>CHOOSE($S$3,AJ58,AK58,AL58,AM58,AN58)</f>
        <v>131.44999999999999</v>
      </c>
      <c r="E58" s="55">
        <f t="shared" si="1"/>
        <v>1.8504117358936711E-2</v>
      </c>
      <c r="F58" s="55">
        <f t="shared" si="4"/>
        <v>1.8504117358936711E-2</v>
      </c>
      <c r="G58" s="70">
        <f t="shared" si="5"/>
        <v>1.7189127516053632E-2</v>
      </c>
      <c r="H58" s="53"/>
      <c r="I58" s="15">
        <v>42151</v>
      </c>
      <c r="J58" s="55">
        <v>9.300000000000001E-3</v>
      </c>
      <c r="K58" s="55">
        <v>3.3E-3</v>
      </c>
      <c r="L58" s="55">
        <v>-3.4000000000000002E-3</v>
      </c>
      <c r="M58" s="55">
        <v>0</v>
      </c>
      <c r="N58" s="70">
        <f t="shared" si="6"/>
        <v>8.7908548707753484E-3</v>
      </c>
      <c r="O58" s="70">
        <f t="shared" si="2"/>
        <v>3.3916500994035782E-3</v>
      </c>
      <c r="P58" s="70">
        <f t="shared" si="3"/>
        <v>-3.1015904572564614E-3</v>
      </c>
      <c r="AI58" s="15">
        <v>42151</v>
      </c>
      <c r="AJ58" s="2">
        <v>131.44999999999999</v>
      </c>
      <c r="AK58" s="2">
        <v>47.3</v>
      </c>
      <c r="AL58" s="2">
        <v>170.58</v>
      </c>
      <c r="AM58" s="2">
        <v>107.58715183899326</v>
      </c>
      <c r="AN58" s="2">
        <v>52.06849762112207</v>
      </c>
    </row>
    <row r="59" spans="2:40" x14ac:dyDescent="0.35">
      <c r="B59" s="15">
        <v>42150</v>
      </c>
      <c r="C59" s="49" t="str">
        <f>$S$4</f>
        <v>AAPL</v>
      </c>
      <c r="D59" s="53">
        <f>CHOOSE($S$3,AJ59,AK59,AL59,AM59,AN59)</f>
        <v>129.04</v>
      </c>
      <c r="E59" s="55">
        <f t="shared" si="1"/>
        <v>-2.2224839977771419E-2</v>
      </c>
      <c r="F59" s="55">
        <f t="shared" si="4"/>
        <v>-2.2224839977771419E-2</v>
      </c>
      <c r="G59" s="70">
        <f t="shared" si="5"/>
        <v>-2.3539829820654497E-2</v>
      </c>
      <c r="H59" s="53"/>
      <c r="I59" s="15">
        <v>42150</v>
      </c>
      <c r="J59" s="55">
        <v>-1.01E-2</v>
      </c>
      <c r="K59" s="55">
        <v>-2.0000000000000001E-4</v>
      </c>
      <c r="L59" s="55">
        <v>-1E-4</v>
      </c>
      <c r="M59" s="55">
        <v>0</v>
      </c>
      <c r="N59" s="70">
        <f t="shared" si="6"/>
        <v>-1.0609145129224652E-2</v>
      </c>
      <c r="O59" s="70">
        <f t="shared" si="2"/>
        <v>-1.083499005964217E-4</v>
      </c>
      <c r="P59" s="70">
        <f t="shared" si="3"/>
        <v>1.9840954274353884E-4</v>
      </c>
      <c r="AI59" s="15">
        <v>42150</v>
      </c>
      <c r="AJ59" s="2">
        <v>129.04</v>
      </c>
      <c r="AK59" s="2">
        <v>46.28</v>
      </c>
      <c r="AL59" s="2">
        <v>168.73</v>
      </c>
      <c r="AM59" s="2">
        <v>106.01749195705996</v>
      </c>
      <c r="AN59" s="2">
        <v>51.224731960088491</v>
      </c>
    </row>
    <row r="60" spans="2:40" x14ac:dyDescent="0.35">
      <c r="B60" s="15">
        <v>42146</v>
      </c>
      <c r="C60" s="49" t="str">
        <f>$S$4</f>
        <v>AAPL</v>
      </c>
      <c r="D60" s="53">
        <f>CHOOSE($S$3,AJ60,AK60,AL60,AM60,AN60)</f>
        <v>131.94</v>
      </c>
      <c r="E60" s="55">
        <f t="shared" si="1"/>
        <v>8.6778347716264491E-3</v>
      </c>
      <c r="F60" s="55">
        <f t="shared" si="4"/>
        <v>8.6778347716264491E-3</v>
      </c>
      <c r="G60" s="70">
        <f t="shared" si="5"/>
        <v>7.3628449287433725E-3</v>
      </c>
      <c r="H60" s="53"/>
      <c r="I60" s="15">
        <v>42146</v>
      </c>
      <c r="J60" s="55">
        <v>-2.2000000000000001E-3</v>
      </c>
      <c r="K60" s="55">
        <v>-1.1000000000000001E-3</v>
      </c>
      <c r="L60" s="55">
        <v>-1.4000000000000002E-3</v>
      </c>
      <c r="M60" s="55">
        <v>0</v>
      </c>
      <c r="N60" s="70">
        <f t="shared" si="6"/>
        <v>-2.7091451292246527E-3</v>
      </c>
      <c r="O60" s="70">
        <f t="shared" si="2"/>
        <v>-1.0083499005964218E-3</v>
      </c>
      <c r="P60" s="70">
        <f t="shared" si="3"/>
        <v>-1.1015904572564614E-3</v>
      </c>
      <c r="AI60" s="15">
        <v>42146</v>
      </c>
      <c r="AJ60" s="2">
        <v>131.94</v>
      </c>
      <c r="AK60" s="2">
        <v>46.59</v>
      </c>
      <c r="AL60" s="2">
        <v>170.8</v>
      </c>
      <c r="AM60" s="2">
        <v>107.85910973694824</v>
      </c>
      <c r="AN60" s="2">
        <v>51.71050834847852</v>
      </c>
    </row>
    <row r="61" spans="2:40" x14ac:dyDescent="0.35">
      <c r="B61" s="15">
        <v>42145</v>
      </c>
      <c r="C61" s="49" t="str">
        <f>$S$4</f>
        <v>AAPL</v>
      </c>
      <c r="D61" s="53">
        <f>CHOOSE($S$3,AJ61,AK61,AL61,AM61,AN61)</f>
        <v>130.80000000000001</v>
      </c>
      <c r="E61" s="55">
        <f t="shared" si="1"/>
        <v>1.0220244952542538E-2</v>
      </c>
      <c r="F61" s="55">
        <f t="shared" si="4"/>
        <v>1.0220244952542538E-2</v>
      </c>
      <c r="G61" s="70">
        <f t="shared" si="5"/>
        <v>8.9052551096594611E-3</v>
      </c>
      <c r="H61" s="53"/>
      <c r="I61" s="15">
        <v>42145</v>
      </c>
      <c r="J61" s="55">
        <v>2.3E-3</v>
      </c>
      <c r="K61" s="55">
        <v>-2.8999999999999998E-3</v>
      </c>
      <c r="L61" s="55">
        <v>-2.0000000000000001E-4</v>
      </c>
      <c r="M61" s="55">
        <v>0</v>
      </c>
      <c r="N61" s="70">
        <f t="shared" si="6"/>
        <v>1.7908548707753474E-3</v>
      </c>
      <c r="O61" s="70">
        <f t="shared" si="2"/>
        <v>-2.8083499005964216E-3</v>
      </c>
      <c r="P61" s="70">
        <f t="shared" si="3"/>
        <v>9.8409542743538818E-5</v>
      </c>
      <c r="AI61" s="15">
        <v>42145</v>
      </c>
      <c r="AJ61" s="2">
        <v>130.80000000000001</v>
      </c>
      <c r="AK61" s="2">
        <v>47.11</v>
      </c>
      <c r="AL61" s="2">
        <v>171.91</v>
      </c>
      <c r="AM61" s="2">
        <v>107.74362164443583</v>
      </c>
      <c r="AN61" s="2">
        <v>52.167112717101823</v>
      </c>
    </row>
    <row r="62" spans="2:40" x14ac:dyDescent="0.35">
      <c r="B62" s="15">
        <v>42144</v>
      </c>
      <c r="C62" s="49" t="str">
        <f>$S$4</f>
        <v>AAPL</v>
      </c>
      <c r="D62" s="53">
        <f>CHOOSE($S$3,AJ62,AK62,AL62,AM62,AN62)</f>
        <v>129.47</v>
      </c>
      <c r="E62" s="55">
        <f t="shared" si="1"/>
        <v>-7.7234987487666588E-5</v>
      </c>
      <c r="F62" s="55">
        <f t="shared" si="4"/>
        <v>-7.7234987487666588E-5</v>
      </c>
      <c r="G62" s="70">
        <f t="shared" si="5"/>
        <v>-1.3922248303707436E-3</v>
      </c>
      <c r="H62" s="53"/>
      <c r="I62" s="15">
        <v>42144</v>
      </c>
      <c r="J62" s="55">
        <v>-5.0000000000000001E-4</v>
      </c>
      <c r="K62" s="55">
        <v>2.2000000000000001E-3</v>
      </c>
      <c r="L62" s="55">
        <v>-1.4000000000000002E-3</v>
      </c>
      <c r="M62" s="55">
        <v>0</v>
      </c>
      <c r="N62" s="70">
        <f t="shared" si="6"/>
        <v>-1.0091451292246526E-3</v>
      </c>
      <c r="O62" s="70">
        <f t="shared" si="2"/>
        <v>2.2916500994035784E-3</v>
      </c>
      <c r="P62" s="70">
        <f t="shared" si="3"/>
        <v>-1.1015904572564614E-3</v>
      </c>
      <c r="AI62" s="15">
        <v>42144</v>
      </c>
      <c r="AJ62" s="2">
        <v>129.47</v>
      </c>
      <c r="AK62" s="2">
        <v>47.27</v>
      </c>
      <c r="AL62" s="2">
        <v>172.33</v>
      </c>
      <c r="AM62" s="2">
        <v>107.32745884230971</v>
      </c>
      <c r="AN62" s="2">
        <v>52.319426219470849</v>
      </c>
    </row>
    <row r="63" spans="2:40" x14ac:dyDescent="0.35">
      <c r="B63" s="15">
        <v>42143</v>
      </c>
      <c r="C63" s="49" t="str">
        <f>$S$4</f>
        <v>AAPL</v>
      </c>
      <c r="D63" s="53">
        <f>CHOOSE($S$3,AJ63,AK63,AL63,AM63,AN63)</f>
        <v>129.47999999999999</v>
      </c>
      <c r="E63" s="55">
        <f t="shared" si="1"/>
        <v>-9.2635486013078832E-4</v>
      </c>
      <c r="F63" s="55">
        <f t="shared" si="4"/>
        <v>-9.2635486013078832E-4</v>
      </c>
      <c r="G63" s="70">
        <f t="shared" si="5"/>
        <v>-2.2413447030138652E-3</v>
      </c>
      <c r="H63" s="53"/>
      <c r="I63" s="15">
        <v>42143</v>
      </c>
      <c r="J63" s="55">
        <v>-8.9999999999999998E-4</v>
      </c>
      <c r="K63" s="55">
        <v>-1.1999999999999999E-3</v>
      </c>
      <c r="L63" s="55">
        <v>2.3E-3</v>
      </c>
      <c r="M63" s="55">
        <v>0</v>
      </c>
      <c r="N63" s="70">
        <f t="shared" si="6"/>
        <v>-1.4091451292246526E-3</v>
      </c>
      <c r="O63" s="70">
        <f t="shared" si="2"/>
        <v>-1.1083499005964217E-3</v>
      </c>
      <c r="P63" s="70">
        <f t="shared" si="3"/>
        <v>2.5984095427435388E-3</v>
      </c>
      <c r="AI63" s="15">
        <v>42143</v>
      </c>
      <c r="AJ63" s="2">
        <v>129.47999999999999</v>
      </c>
      <c r="AK63" s="2">
        <v>47.27</v>
      </c>
      <c r="AL63" s="2">
        <v>172.05</v>
      </c>
      <c r="AM63" s="2">
        <v>107.24441144781866</v>
      </c>
      <c r="AN63" s="2">
        <v>52.276922188421551</v>
      </c>
    </row>
    <row r="64" spans="2:40" x14ac:dyDescent="0.35">
      <c r="B64" s="15">
        <v>42142</v>
      </c>
      <c r="C64" s="49" t="str">
        <f>$S$4</f>
        <v>AAPL</v>
      </c>
      <c r="D64" s="53">
        <f>CHOOSE($S$3,AJ64,AK64,AL64,AM64,AN64)</f>
        <v>129.6</v>
      </c>
      <c r="E64" s="55">
        <f t="shared" si="1"/>
        <v>1.0939245594131081E-2</v>
      </c>
      <c r="F64" s="55">
        <f t="shared" si="4"/>
        <v>1.0939245594131081E-2</v>
      </c>
      <c r="G64" s="70">
        <f t="shared" si="5"/>
        <v>9.6242557512480047E-3</v>
      </c>
      <c r="H64" s="53"/>
      <c r="I64" s="15">
        <v>42142</v>
      </c>
      <c r="J64" s="55">
        <v>4.4000000000000003E-3</v>
      </c>
      <c r="K64" s="55">
        <v>7.4000000000000003E-3</v>
      </c>
      <c r="L64" s="55">
        <v>-8.9999999999999998E-4</v>
      </c>
      <c r="M64" s="55">
        <v>0</v>
      </c>
      <c r="N64" s="70">
        <f t="shared" si="6"/>
        <v>3.8908548707753477E-3</v>
      </c>
      <c r="O64" s="70">
        <f t="shared" si="2"/>
        <v>7.491650099403579E-3</v>
      </c>
      <c r="P64" s="70">
        <f t="shared" si="3"/>
        <v>-6.0159045725646115E-4</v>
      </c>
      <c r="AI64" s="15">
        <v>42142</v>
      </c>
      <c r="AJ64" s="2">
        <v>129.6</v>
      </c>
      <c r="AK64" s="2">
        <v>47.39</v>
      </c>
      <c r="AL64" s="2">
        <v>171.64</v>
      </c>
      <c r="AM64" s="2">
        <v>107.16632442548666</v>
      </c>
      <c r="AN64" s="2">
        <v>52.280988805157399</v>
      </c>
    </row>
    <row r="65" spans="2:40" x14ac:dyDescent="0.35">
      <c r="B65" s="15">
        <v>42139</v>
      </c>
      <c r="C65" s="49" t="str">
        <f>$S$4</f>
        <v>AAPL</v>
      </c>
      <c r="D65" s="53">
        <f>CHOOSE($S$3,AJ65,AK65,AL65,AM65,AN65)</f>
        <v>128.19</v>
      </c>
      <c r="E65" s="55">
        <f t="shared" si="1"/>
        <v>-1.4031807727919311E-3</v>
      </c>
      <c r="F65" s="55">
        <f t="shared" si="4"/>
        <v>-1.4031807727919311E-3</v>
      </c>
      <c r="G65" s="70">
        <f t="shared" si="5"/>
        <v>-2.7181706156750082E-3</v>
      </c>
      <c r="H65" s="53"/>
      <c r="I65" s="15">
        <v>42139</v>
      </c>
      <c r="J65" s="55">
        <v>5.0000000000000001E-4</v>
      </c>
      <c r="K65" s="55">
        <v>-2.3999999999999998E-3</v>
      </c>
      <c r="L65" s="55">
        <v>-2E-3</v>
      </c>
      <c r="M65" s="55">
        <v>0</v>
      </c>
      <c r="N65" s="70">
        <f t="shared" si="6"/>
        <v>-9.1451292246525796E-6</v>
      </c>
      <c r="O65" s="70">
        <f t="shared" si="2"/>
        <v>-2.3083499005964216E-3</v>
      </c>
      <c r="P65" s="70">
        <f t="shared" si="3"/>
        <v>-1.7015904572564612E-3</v>
      </c>
      <c r="AI65" s="15">
        <v>42139</v>
      </c>
      <c r="AJ65" s="2">
        <v>128.19</v>
      </c>
      <c r="AK65" s="2">
        <v>47.67</v>
      </c>
      <c r="AL65" s="2">
        <v>171.83</v>
      </c>
      <c r="AM65" s="2">
        <v>106.64267431603203</v>
      </c>
      <c r="AN65" s="2">
        <v>52.464374504675838</v>
      </c>
    </row>
    <row r="66" spans="2:40" x14ac:dyDescent="0.35">
      <c r="B66" s="15">
        <v>42138</v>
      </c>
      <c r="C66" s="49" t="str">
        <f>$S$4</f>
        <v>AAPL</v>
      </c>
      <c r="D66" s="53">
        <f>CHOOSE($S$3,AJ66,AK66,AL66,AM66,AN66)</f>
        <v>128.37</v>
      </c>
      <c r="E66" s="55">
        <f t="shared" si="1"/>
        <v>2.3089162494737459E-2</v>
      </c>
      <c r="F66" s="55">
        <f t="shared" si="4"/>
        <v>2.3089162494737459E-2</v>
      </c>
      <c r="G66" s="70">
        <f t="shared" si="5"/>
        <v>2.1774172651854381E-2</v>
      </c>
      <c r="H66" s="53"/>
      <c r="I66" s="15">
        <v>42138</v>
      </c>
      <c r="J66" s="55">
        <v>1.01E-2</v>
      </c>
      <c r="K66" s="55">
        <v>-1E-3</v>
      </c>
      <c r="L66" s="55">
        <v>-3.4999999999999996E-3</v>
      </c>
      <c r="M66" s="55">
        <v>0</v>
      </c>
      <c r="N66" s="70">
        <f t="shared" si="6"/>
        <v>9.590854870775347E-3</v>
      </c>
      <c r="O66" s="70">
        <f t="shared" si="2"/>
        <v>-9.0834990059642168E-4</v>
      </c>
      <c r="P66" s="70">
        <f t="shared" si="3"/>
        <v>-3.2015904572564608E-3</v>
      </c>
      <c r="AI66" s="15">
        <v>42138</v>
      </c>
      <c r="AJ66" s="2">
        <v>128.37</v>
      </c>
      <c r="AK66" s="2">
        <v>48.09</v>
      </c>
      <c r="AL66" s="2">
        <v>172.62</v>
      </c>
      <c r="AM66" s="2">
        <v>106.96269474777107</v>
      </c>
      <c r="AN66" s="2">
        <v>52.816099345181307</v>
      </c>
    </row>
    <row r="67" spans="2:40" x14ac:dyDescent="0.35">
      <c r="B67" s="15">
        <v>42137</v>
      </c>
      <c r="C67" s="49" t="str">
        <f>$S$4</f>
        <v>AAPL</v>
      </c>
      <c r="D67" s="53">
        <f>CHOOSE($S$3,AJ67,AK67,AL67,AM67,AN67)</f>
        <v>125.44</v>
      </c>
      <c r="E67" s="55">
        <f t="shared" si="1"/>
        <v>1.1166947000751544E-3</v>
      </c>
      <c r="F67" s="55">
        <f t="shared" si="4"/>
        <v>1.1166947000751544E-3</v>
      </c>
      <c r="G67" s="70">
        <f t="shared" si="5"/>
        <v>-1.9829514280792263E-4</v>
      </c>
      <c r="H67" s="53"/>
      <c r="I67" s="15">
        <v>42137</v>
      </c>
      <c r="J67" s="55">
        <v>1E-4</v>
      </c>
      <c r="K67" s="55">
        <v>0</v>
      </c>
      <c r="L67" s="55">
        <v>2.0000000000000001E-4</v>
      </c>
      <c r="M67" s="55">
        <v>0</v>
      </c>
      <c r="N67" s="70">
        <f t="shared" si="6"/>
        <v>-4.091451292246526E-4</v>
      </c>
      <c r="O67" s="70">
        <f t="shared" si="2"/>
        <v>9.165009940357831E-5</v>
      </c>
      <c r="P67" s="70">
        <f t="shared" si="3"/>
        <v>4.9840954274353881E-4</v>
      </c>
      <c r="AI67" s="15">
        <v>42137</v>
      </c>
      <c r="AJ67" s="2">
        <v>125.44</v>
      </c>
      <c r="AK67" s="2">
        <v>47.01</v>
      </c>
      <c r="AL67" s="2">
        <v>170.86</v>
      </c>
      <c r="AM67" s="2">
        <v>105.1967164133448</v>
      </c>
      <c r="AN67" s="2">
        <v>51.953778885687527</v>
      </c>
    </row>
    <row r="68" spans="2:40" x14ac:dyDescent="0.35">
      <c r="B68" s="15">
        <v>42136</v>
      </c>
      <c r="C68" s="49" t="str">
        <f>$S$4</f>
        <v>AAPL</v>
      </c>
      <c r="D68" s="53">
        <f>CHOOSE($S$3,AJ68,AK68,AL68,AM68,AN68)</f>
        <v>125.3</v>
      </c>
      <c r="E68" s="55">
        <f t="shared" si="1"/>
        <v>-3.5849470778259937E-3</v>
      </c>
      <c r="F68" s="55">
        <f t="shared" si="4"/>
        <v>-3.5849470778259937E-3</v>
      </c>
      <c r="G68" s="70">
        <f t="shared" si="5"/>
        <v>-4.8999369207090703E-3</v>
      </c>
      <c r="H68" s="53"/>
      <c r="I68" s="15">
        <v>42136</v>
      </c>
      <c r="J68" s="55">
        <v>-2.7000000000000001E-3</v>
      </c>
      <c r="K68" s="55">
        <v>0</v>
      </c>
      <c r="L68" s="55">
        <v>7.000000000000001E-4</v>
      </c>
      <c r="M68" s="55">
        <v>0</v>
      </c>
      <c r="N68" s="70">
        <f t="shared" si="6"/>
        <v>-3.2091451292246527E-3</v>
      </c>
      <c r="O68" s="70">
        <f t="shared" si="2"/>
        <v>9.165009940357831E-5</v>
      </c>
      <c r="P68" s="70">
        <f t="shared" si="3"/>
        <v>9.9840954274353893E-4</v>
      </c>
      <c r="AI68" s="15">
        <v>42136</v>
      </c>
      <c r="AJ68" s="2">
        <v>125.3</v>
      </c>
      <c r="AK68" s="2">
        <v>46.74</v>
      </c>
      <c r="AL68" s="2">
        <v>169.15</v>
      </c>
      <c r="AM68" s="2">
        <v>104.61159832380925</v>
      </c>
      <c r="AN68" s="2">
        <v>51.544599945439238</v>
      </c>
    </row>
    <row r="69" spans="2:40" x14ac:dyDescent="0.35">
      <c r="B69" s="15">
        <v>42135</v>
      </c>
      <c r="C69" s="49" t="str">
        <f>$S$4</f>
        <v>AAPL</v>
      </c>
      <c r="D69" s="53">
        <f>CHOOSE($S$3,AJ69,AK69,AL69,AM69,AN69)</f>
        <v>125.75</v>
      </c>
      <c r="E69" s="55">
        <f t="shared" si="1"/>
        <v>-1.0206188518977094E-2</v>
      </c>
      <c r="F69" s="55">
        <f t="shared" si="4"/>
        <v>-1.0206188518977094E-2</v>
      </c>
      <c r="G69" s="70">
        <f t="shared" si="5"/>
        <v>-1.152117836186017E-2</v>
      </c>
      <c r="H69" s="53"/>
      <c r="I69" s="15">
        <v>42135</v>
      </c>
      <c r="J69" s="55">
        <v>-3.9000000000000003E-3</v>
      </c>
      <c r="K69" s="55">
        <v>6.8000000000000005E-3</v>
      </c>
      <c r="L69" s="55">
        <v>-2.9999999999999997E-4</v>
      </c>
      <c r="M69" s="55">
        <v>0</v>
      </c>
      <c r="N69" s="70">
        <f t="shared" si="6"/>
        <v>-4.4091451292246533E-3</v>
      </c>
      <c r="O69" s="70">
        <f t="shared" si="2"/>
        <v>6.8916500994035792E-3</v>
      </c>
      <c r="P69" s="70">
        <f t="shared" si="3"/>
        <v>-1.5904572564611461E-6</v>
      </c>
      <c r="AI69" s="15">
        <v>42135</v>
      </c>
      <c r="AJ69" s="2">
        <v>125.75</v>
      </c>
      <c r="AK69" s="2">
        <v>46.76</v>
      </c>
      <c r="AL69" s="2">
        <v>169.71</v>
      </c>
      <c r="AM69" s="2">
        <v>104.97261565322891</v>
      </c>
      <c r="AN69" s="2">
        <v>51.640951493409609</v>
      </c>
    </row>
    <row r="70" spans="2:40" x14ac:dyDescent="0.35">
      <c r="B70" s="15">
        <v>42132</v>
      </c>
      <c r="C70" s="49" t="str">
        <f>$S$4</f>
        <v>AAPL</v>
      </c>
      <c r="D70" s="53">
        <f>CHOOSE($S$3,AJ70,AK70,AL70,AM70,AN70)</f>
        <v>127.04</v>
      </c>
      <c r="E70" s="55">
        <f t="shared" si="1"/>
        <v>1.859114481283481E-2</v>
      </c>
      <c r="F70" s="55">
        <f t="shared" si="4"/>
        <v>1.859114481283481E-2</v>
      </c>
      <c r="G70" s="70">
        <f t="shared" si="5"/>
        <v>1.7276154969951732E-2</v>
      </c>
      <c r="H70" s="53"/>
      <c r="I70" s="15">
        <v>42132</v>
      </c>
      <c r="J70" s="55">
        <v>1.21E-2</v>
      </c>
      <c r="K70" s="55">
        <v>-5.6000000000000008E-3</v>
      </c>
      <c r="L70" s="55">
        <v>-1.1999999999999999E-3</v>
      </c>
      <c r="M70" s="55">
        <v>0</v>
      </c>
      <c r="N70" s="70">
        <f t="shared" si="6"/>
        <v>1.1590854870775347E-2</v>
      </c>
      <c r="O70" s="70">
        <f t="shared" si="2"/>
        <v>-5.5083499005964221E-3</v>
      </c>
      <c r="P70" s="70">
        <f t="shared" si="3"/>
        <v>-9.0159045725646107E-4</v>
      </c>
      <c r="AI70" s="15">
        <v>42132</v>
      </c>
      <c r="AJ70" s="2">
        <v>127.04</v>
      </c>
      <c r="AK70" s="2">
        <v>47.13</v>
      </c>
      <c r="AL70" s="2">
        <v>171.26</v>
      </c>
      <c r="AM70" s="2">
        <v>105.99041315917778</v>
      </c>
      <c r="AN70" s="2">
        <v>52.081086631173392</v>
      </c>
    </row>
    <row r="71" spans="2:40" x14ac:dyDescent="0.35">
      <c r="B71" s="15">
        <v>42131</v>
      </c>
      <c r="C71" s="49" t="str">
        <f>$S$4</f>
        <v>AAPL</v>
      </c>
      <c r="D71" s="53">
        <f>CHOOSE($S$3,AJ71,AK71,AL71,AM71,AN71)</f>
        <v>124.7</v>
      </c>
      <c r="E71" s="55">
        <f t="shared" si="1"/>
        <v>6.1939626092078542E-3</v>
      </c>
      <c r="F71" s="55">
        <f t="shared" si="4"/>
        <v>6.1939626092078542E-3</v>
      </c>
      <c r="G71" s="70">
        <f t="shared" si="5"/>
        <v>4.8789727663247767E-3</v>
      </c>
      <c r="H71" s="53"/>
      <c r="I71" s="15">
        <v>42131</v>
      </c>
      <c r="J71" s="55">
        <v>3.9000000000000003E-3</v>
      </c>
      <c r="K71" s="55">
        <v>5.9999999999999995E-4</v>
      </c>
      <c r="L71" s="55">
        <v>-3.9000000000000003E-3</v>
      </c>
      <c r="M71" s="55">
        <v>0</v>
      </c>
      <c r="N71" s="70">
        <f t="shared" si="6"/>
        <v>3.3908548707753477E-3</v>
      </c>
      <c r="O71" s="70">
        <f t="shared" si="2"/>
        <v>6.9165009940357828E-4</v>
      </c>
      <c r="P71" s="70">
        <f t="shared" si="3"/>
        <v>-3.6015904572564614E-3</v>
      </c>
      <c r="AI71" s="15">
        <v>42131</v>
      </c>
      <c r="AJ71" s="2">
        <v>124.7</v>
      </c>
      <c r="AK71" s="2">
        <v>46.09</v>
      </c>
      <c r="AL71" s="2">
        <v>169.58</v>
      </c>
      <c r="AM71" s="2">
        <v>104.4944092670857</v>
      </c>
      <c r="AN71" s="2">
        <v>51.251011231528132</v>
      </c>
    </row>
    <row r="72" spans="2:40" x14ac:dyDescent="0.35">
      <c r="B72" s="15">
        <v>42130</v>
      </c>
      <c r="C72" s="49" t="str">
        <f>$S$4</f>
        <v>AAPL</v>
      </c>
      <c r="D72" s="53">
        <f>CHOOSE($S$3,AJ72,AK72,AL72,AM72,AN72)</f>
        <v>123.93</v>
      </c>
      <c r="E72" s="55">
        <f t="shared" si="1"/>
        <v>-6.2741518558728331E-3</v>
      </c>
      <c r="F72" s="55">
        <f t="shared" si="4"/>
        <v>-6.2741518558728331E-3</v>
      </c>
      <c r="G72" s="70">
        <f t="shared" si="5"/>
        <v>-7.5891416987559097E-3</v>
      </c>
      <c r="H72" s="53"/>
      <c r="I72" s="15">
        <v>42130</v>
      </c>
      <c r="J72" s="55">
        <v>-3.0999999999999999E-3</v>
      </c>
      <c r="K72" s="55">
        <v>6.4000000000000003E-3</v>
      </c>
      <c r="L72" s="55">
        <v>-1.2999999999999999E-3</v>
      </c>
      <c r="M72" s="55">
        <v>0</v>
      </c>
      <c r="N72" s="70">
        <f t="shared" si="6"/>
        <v>-3.6091451292246525E-3</v>
      </c>
      <c r="O72" s="70">
        <f t="shared" si="2"/>
        <v>6.491650099403579E-3</v>
      </c>
      <c r="P72" s="70">
        <f t="shared" si="3"/>
        <v>-1.0015904572564611E-3</v>
      </c>
      <c r="AI72" s="15">
        <v>42130</v>
      </c>
      <c r="AJ72" s="2">
        <v>123.93</v>
      </c>
      <c r="AK72" s="2">
        <v>45.68</v>
      </c>
      <c r="AL72" s="2">
        <v>168.65</v>
      </c>
      <c r="AM72" s="2">
        <v>103.88526136287116</v>
      </c>
      <c r="AN72" s="2">
        <v>50.882522194542396</v>
      </c>
    </row>
    <row r="73" spans="2:40" x14ac:dyDescent="0.35">
      <c r="B73" s="15">
        <v>42129</v>
      </c>
      <c r="C73" s="49" t="str">
        <f>$S$4</f>
        <v>AAPL</v>
      </c>
      <c r="D73" s="53">
        <f>CHOOSE($S$3,AJ73,AK73,AL73,AM73,AN73)</f>
        <v>124.71</v>
      </c>
      <c r="E73" s="55">
        <f t="shared" si="1"/>
        <v>-2.2830956000996196E-2</v>
      </c>
      <c r="F73" s="55">
        <f t="shared" si="4"/>
        <v>-2.2830956000996196E-2</v>
      </c>
      <c r="G73" s="70">
        <f t="shared" si="5"/>
        <v>-2.4145945843879274E-2</v>
      </c>
      <c r="H73" s="53"/>
      <c r="I73" s="15">
        <v>42129</v>
      </c>
      <c r="J73" s="55">
        <v>-1.1899999999999999E-2</v>
      </c>
      <c r="K73" s="55">
        <v>-1.5E-3</v>
      </c>
      <c r="L73" s="55">
        <v>5.0000000000000001E-3</v>
      </c>
      <c r="M73" s="55">
        <v>0</v>
      </c>
      <c r="N73" s="70">
        <f t="shared" si="6"/>
        <v>-1.2409145129224652E-2</v>
      </c>
      <c r="O73" s="70">
        <f t="shared" si="2"/>
        <v>-1.4083499005964218E-3</v>
      </c>
      <c r="P73" s="70">
        <f t="shared" si="3"/>
        <v>5.2984095427435389E-3</v>
      </c>
      <c r="AI73" s="15">
        <v>42129</v>
      </c>
      <c r="AJ73" s="2">
        <v>124.71</v>
      </c>
      <c r="AK73" s="2">
        <v>46.98</v>
      </c>
      <c r="AL73" s="2">
        <v>170.37</v>
      </c>
      <c r="AM73" s="2">
        <v>104.74192581250503</v>
      </c>
      <c r="AN73" s="2">
        <v>51.866017245794062</v>
      </c>
    </row>
    <row r="74" spans="2:40" x14ac:dyDescent="0.35">
      <c r="B74" s="15">
        <v>42128</v>
      </c>
      <c r="C74" s="49" t="str">
        <f>$S$4</f>
        <v>AAPL</v>
      </c>
      <c r="D74" s="53">
        <f>CHOOSE($S$3,AJ74,AK74,AL74,AM74,AN74)</f>
        <v>127.59</v>
      </c>
      <c r="E74" s="55">
        <f t="shared" si="1"/>
        <v>-1.8792582462784451E-3</v>
      </c>
      <c r="F74" s="55">
        <f t="shared" si="4"/>
        <v>-1.8792582462784451E-3</v>
      </c>
      <c r="G74" s="70">
        <f t="shared" si="5"/>
        <v>-3.1942480891615221E-3</v>
      </c>
      <c r="H74" s="53"/>
      <c r="I74" s="15">
        <v>42128</v>
      </c>
      <c r="J74" s="55">
        <v>3.2000000000000002E-3</v>
      </c>
      <c r="K74" s="55">
        <v>2.9999999999999997E-4</v>
      </c>
      <c r="L74" s="55">
        <v>2.3999999999999998E-3</v>
      </c>
      <c r="M74" s="55">
        <v>0</v>
      </c>
      <c r="N74" s="70">
        <f t="shared" si="6"/>
        <v>2.6908548707753476E-3</v>
      </c>
      <c r="O74" s="70">
        <f t="shared" si="2"/>
        <v>3.9165009940357826E-4</v>
      </c>
      <c r="P74" s="70">
        <f t="shared" si="3"/>
        <v>2.6984095427435386E-3</v>
      </c>
      <c r="AI74" s="15">
        <v>42128</v>
      </c>
      <c r="AJ74" s="2">
        <v>127.59</v>
      </c>
      <c r="AK74" s="2">
        <v>47.61</v>
      </c>
      <c r="AL74" s="2">
        <v>171.24</v>
      </c>
      <c r="AM74" s="2">
        <v>106.21879272408093</v>
      </c>
      <c r="AN74" s="2">
        <v>52.346205658005566</v>
      </c>
    </row>
    <row r="75" spans="2:40" x14ac:dyDescent="0.35">
      <c r="B75" s="15">
        <v>42125</v>
      </c>
      <c r="C75" s="49" t="str">
        <f>$S$4</f>
        <v>AAPL</v>
      </c>
      <c r="D75" s="53">
        <f>CHOOSE($S$3,AJ75,AK75,AL75,AM75,AN75)</f>
        <v>127.83</v>
      </c>
      <c r="E75" s="55">
        <f t="shared" si="1"/>
        <v>2.9855333725150281E-2</v>
      </c>
      <c r="F75" s="55">
        <f t="shared" si="4"/>
        <v>2.9855333725150281E-2</v>
      </c>
      <c r="G75" s="70">
        <f t="shared" si="5"/>
        <v>2.8540343882267203E-2</v>
      </c>
      <c r="H75" s="53"/>
      <c r="I75" s="15">
        <v>42125</v>
      </c>
      <c r="J75" s="55">
        <v>1.01E-2</v>
      </c>
      <c r="K75" s="55">
        <v>-3.0000000000000001E-3</v>
      </c>
      <c r="L75" s="55">
        <v>-6.1999999999999998E-3</v>
      </c>
      <c r="M75" s="55">
        <v>0</v>
      </c>
      <c r="N75" s="70">
        <f t="shared" si="6"/>
        <v>9.590854870775347E-3</v>
      </c>
      <c r="O75" s="70">
        <f t="shared" si="2"/>
        <v>-2.9083499005964218E-3</v>
      </c>
      <c r="P75" s="70">
        <f t="shared" si="3"/>
        <v>-5.901590457256461E-3</v>
      </c>
      <c r="AI75" s="15">
        <v>42125</v>
      </c>
      <c r="AJ75" s="2">
        <v>127.83</v>
      </c>
      <c r="AK75" s="2">
        <v>48.03</v>
      </c>
      <c r="AL75" s="2">
        <v>170.95</v>
      </c>
      <c r="AM75" s="2">
        <v>106.22875050272415</v>
      </c>
      <c r="AN75" s="2">
        <v>52.532771371143838</v>
      </c>
    </row>
    <row r="76" spans="2:40" x14ac:dyDescent="0.35">
      <c r="B76" s="15">
        <v>42124</v>
      </c>
      <c r="C76" s="49" t="str">
        <f>$S$4</f>
        <v>AAPL</v>
      </c>
      <c r="D76" s="53">
        <f>CHOOSE($S$3,AJ76,AK76,AL76,AM76,AN76)</f>
        <v>124.07</v>
      </c>
      <c r="E76" s="55">
        <f t="shared" ref="E76:E139" si="7">LN(D76/D77)</f>
        <v>-2.7505708584028402E-2</v>
      </c>
      <c r="F76" s="55">
        <f t="shared" si="4"/>
        <v>-2.7505708584028402E-2</v>
      </c>
      <c r="G76" s="70">
        <f t="shared" si="5"/>
        <v>-2.8820698426911481E-2</v>
      </c>
      <c r="H76" s="53"/>
      <c r="I76" s="15">
        <v>42124</v>
      </c>
      <c r="J76" s="55">
        <v>-1.11E-2</v>
      </c>
      <c r="K76" s="55">
        <v>-1.0500000000000001E-2</v>
      </c>
      <c r="L76" s="55">
        <v>7.8000000000000005E-3</v>
      </c>
      <c r="M76" s="55">
        <v>0</v>
      </c>
      <c r="N76" s="70">
        <f t="shared" si="6"/>
        <v>-1.1609145129224653E-2</v>
      </c>
      <c r="O76" s="70">
        <f t="shared" ref="O76:O139" si="8">K76-K$10</f>
        <v>-1.0408349900596423E-2</v>
      </c>
      <c r="P76" s="70">
        <f t="shared" ref="P76:P139" si="9">L76-L$10</f>
        <v>8.0984095427435385E-3</v>
      </c>
      <c r="AI76" s="15">
        <v>42124</v>
      </c>
      <c r="AJ76" s="2">
        <v>124.07</v>
      </c>
      <c r="AK76" s="2">
        <v>48.01</v>
      </c>
      <c r="AL76" s="2">
        <v>168.6</v>
      </c>
      <c r="AM76" s="2">
        <v>103.93629289685994</v>
      </c>
      <c r="AN76" s="2">
        <v>52.160757504386183</v>
      </c>
    </row>
    <row r="77" spans="2:40" x14ac:dyDescent="0.35">
      <c r="B77" s="15">
        <v>42123</v>
      </c>
      <c r="C77" s="49" t="str">
        <f>$S$4</f>
        <v>AAPL</v>
      </c>
      <c r="D77" s="53">
        <f>CHOOSE($S$3,AJ77,AK77,AL77,AM77,AN77)</f>
        <v>127.53</v>
      </c>
      <c r="E77" s="55">
        <f t="shared" si="7"/>
        <v>-1.4788563415538365E-2</v>
      </c>
      <c r="F77" s="55">
        <f t="shared" ref="F77:F140" si="10">E77-M77</f>
        <v>-1.4788563415538365E-2</v>
      </c>
      <c r="G77" s="70">
        <f t="shared" ref="G77:G140" si="11">F77-$F$10</f>
        <v>-1.6103553258421444E-2</v>
      </c>
      <c r="H77" s="53"/>
      <c r="I77" s="15">
        <v>42123</v>
      </c>
      <c r="J77" s="55">
        <v>-3.8E-3</v>
      </c>
      <c r="K77" s="55">
        <v>-7.4000000000000003E-3</v>
      </c>
      <c r="L77" s="55">
        <v>7.4000000000000003E-3</v>
      </c>
      <c r="M77" s="55">
        <v>0</v>
      </c>
      <c r="N77" s="70">
        <f t="shared" ref="N77:N140" si="12">J77-J$10</f>
        <v>-4.3091451292246521E-3</v>
      </c>
      <c r="O77" s="70">
        <f t="shared" si="8"/>
        <v>-7.3083499005964217E-3</v>
      </c>
      <c r="P77" s="70">
        <f t="shared" si="9"/>
        <v>7.6984095427435392E-3</v>
      </c>
      <c r="AI77" s="15">
        <v>42123</v>
      </c>
      <c r="AJ77" s="2">
        <v>127.53</v>
      </c>
      <c r="AK77" s="2">
        <v>48.42</v>
      </c>
      <c r="AL77" s="2">
        <v>171.67</v>
      </c>
      <c r="AM77" s="2">
        <v>106.33183014161122</v>
      </c>
      <c r="AN77" s="2">
        <v>52.858372836869918</v>
      </c>
    </row>
    <row r="78" spans="2:40" x14ac:dyDescent="0.35">
      <c r="B78" s="15">
        <v>42122</v>
      </c>
      <c r="C78" s="49" t="str">
        <f>$S$4</f>
        <v>AAPL</v>
      </c>
      <c r="D78" s="53">
        <f>CHOOSE($S$3,AJ78,AK78,AL78,AM78,AN78)</f>
        <v>129.43</v>
      </c>
      <c r="E78" s="55">
        <f t="shared" si="7"/>
        <v>-1.5866657163472388E-2</v>
      </c>
      <c r="F78" s="55">
        <f t="shared" si="10"/>
        <v>-1.5866657163472388E-2</v>
      </c>
      <c r="G78" s="70">
        <f t="shared" si="11"/>
        <v>-1.7181647006355466E-2</v>
      </c>
      <c r="H78" s="53"/>
      <c r="I78" s="15">
        <v>42122</v>
      </c>
      <c r="J78" s="55">
        <v>2.7000000000000001E-3</v>
      </c>
      <c r="K78" s="55">
        <v>2.0999999999999999E-3</v>
      </c>
      <c r="L78" s="55">
        <v>1.0200000000000001E-2</v>
      </c>
      <c r="M78" s="55">
        <v>0</v>
      </c>
      <c r="N78" s="70">
        <f t="shared" si="12"/>
        <v>2.1908548707753476E-3</v>
      </c>
      <c r="O78" s="70">
        <f t="shared" si="8"/>
        <v>2.1916500994035781E-3</v>
      </c>
      <c r="P78" s="70">
        <f t="shared" si="9"/>
        <v>1.049840954274354E-2</v>
      </c>
      <c r="AI78" s="15">
        <v>42122</v>
      </c>
      <c r="AJ78" s="2">
        <v>129.43</v>
      </c>
      <c r="AK78" s="2">
        <v>48.52</v>
      </c>
      <c r="AL78" s="2">
        <v>171.19</v>
      </c>
      <c r="AM78" s="2">
        <v>106.97526494282286</v>
      </c>
      <c r="AN78" s="2">
        <v>52.839058389442002</v>
      </c>
    </row>
    <row r="79" spans="2:40" x14ac:dyDescent="0.35">
      <c r="B79" s="15">
        <v>42121</v>
      </c>
      <c r="C79" s="49" t="str">
        <f>$S$4</f>
        <v>AAPL</v>
      </c>
      <c r="D79" s="53">
        <f>CHOOSE($S$3,AJ79,AK79,AL79,AM79,AN79)</f>
        <v>131.5</v>
      </c>
      <c r="E79" s="55">
        <f t="shared" si="7"/>
        <v>1.803233207596967E-2</v>
      </c>
      <c r="F79" s="55">
        <f t="shared" si="10"/>
        <v>1.803233207596967E-2</v>
      </c>
      <c r="G79" s="70">
        <f t="shared" si="11"/>
        <v>1.6717342233086591E-2</v>
      </c>
      <c r="H79" s="53"/>
      <c r="I79" s="15">
        <v>42121</v>
      </c>
      <c r="J79" s="55">
        <v>-5.4000000000000003E-3</v>
      </c>
      <c r="K79" s="55">
        <v>-6.9999999999999993E-3</v>
      </c>
      <c r="L79" s="55">
        <v>5.6000000000000008E-3</v>
      </c>
      <c r="M79" s="55">
        <v>0</v>
      </c>
      <c r="N79" s="70">
        <f t="shared" si="12"/>
        <v>-5.9091451292246529E-3</v>
      </c>
      <c r="O79" s="70">
        <f t="shared" si="8"/>
        <v>-6.9083499005964206E-3</v>
      </c>
      <c r="P79" s="70">
        <f t="shared" si="9"/>
        <v>5.8984095427435396E-3</v>
      </c>
      <c r="AI79" s="15">
        <v>42121</v>
      </c>
      <c r="AJ79" s="2">
        <v>131.5</v>
      </c>
      <c r="AK79" s="2">
        <v>47.41</v>
      </c>
      <c r="AL79" s="2">
        <v>168.05</v>
      </c>
      <c r="AM79" s="2">
        <v>106.84962292595041</v>
      </c>
      <c r="AN79" s="2">
        <v>51.750062385347455</v>
      </c>
    </row>
    <row r="80" spans="2:40" x14ac:dyDescent="0.35">
      <c r="B80" s="15">
        <v>42118</v>
      </c>
      <c r="C80" s="49" t="str">
        <f>$S$4</f>
        <v>AAPL</v>
      </c>
      <c r="D80" s="53">
        <f>CHOOSE($S$3,AJ80,AK80,AL80,AM80,AN80)</f>
        <v>129.15</v>
      </c>
      <c r="E80" s="55">
        <f t="shared" si="7"/>
        <v>4.656585829951064E-3</v>
      </c>
      <c r="F80" s="55">
        <f t="shared" si="10"/>
        <v>4.656585829951064E-3</v>
      </c>
      <c r="G80" s="70">
        <f t="shared" si="11"/>
        <v>3.341595987067987E-3</v>
      </c>
      <c r="H80" s="53"/>
      <c r="I80" s="15">
        <v>42118</v>
      </c>
      <c r="J80" s="55">
        <v>1.7000000000000001E-3</v>
      </c>
      <c r="K80" s="55">
        <v>-5.1000000000000004E-3</v>
      </c>
      <c r="L80" s="55">
        <v>-2.8999999999999998E-3</v>
      </c>
      <c r="M80" s="55">
        <v>0</v>
      </c>
      <c r="N80" s="70">
        <f t="shared" si="12"/>
        <v>1.1908548707753475E-3</v>
      </c>
      <c r="O80" s="70">
        <f t="shared" si="8"/>
        <v>-5.0083499005964217E-3</v>
      </c>
      <c r="P80" s="70">
        <f t="shared" si="9"/>
        <v>-2.601590457256461E-3</v>
      </c>
      <c r="AI80" s="15">
        <v>42118</v>
      </c>
      <c r="AJ80" s="2">
        <v>129.15</v>
      </c>
      <c r="AK80" s="2">
        <v>47.25</v>
      </c>
      <c r="AL80" s="2">
        <v>167.12</v>
      </c>
      <c r="AM80" s="2">
        <v>105.59922645021412</v>
      </c>
      <c r="AN80" s="2">
        <v>51.519544768067298</v>
      </c>
    </row>
    <row r="81" spans="2:40" x14ac:dyDescent="0.35">
      <c r="B81" s="15">
        <v>42117</v>
      </c>
      <c r="C81" s="49" t="str">
        <f>$S$4</f>
        <v>AAPL</v>
      </c>
      <c r="D81" s="53">
        <f>CHOOSE($S$3,AJ81,AK81,AL81,AM81,AN81)</f>
        <v>128.55000000000001</v>
      </c>
      <c r="E81" s="55">
        <f t="shared" si="7"/>
        <v>8.1231408164479501E-3</v>
      </c>
      <c r="F81" s="55">
        <f t="shared" si="10"/>
        <v>8.1231408164479501E-3</v>
      </c>
      <c r="G81" s="70">
        <f t="shared" si="11"/>
        <v>6.8081509735648735E-3</v>
      </c>
      <c r="H81" s="53"/>
      <c r="I81" s="15">
        <v>42117</v>
      </c>
      <c r="J81" s="55">
        <v>2.8999999999999998E-3</v>
      </c>
      <c r="K81" s="55">
        <v>2.8000000000000004E-3</v>
      </c>
      <c r="L81" s="55">
        <v>-2.3E-3</v>
      </c>
      <c r="M81" s="55">
        <v>0</v>
      </c>
      <c r="N81" s="70">
        <f t="shared" si="12"/>
        <v>2.3908548707753472E-3</v>
      </c>
      <c r="O81" s="70">
        <f t="shared" si="8"/>
        <v>2.8916500994035786E-3</v>
      </c>
      <c r="P81" s="70">
        <f t="shared" si="9"/>
        <v>-2.0015904572564611E-3</v>
      </c>
      <c r="AI81" s="15">
        <v>42117</v>
      </c>
      <c r="AJ81" s="2">
        <v>128.55000000000001</v>
      </c>
      <c r="AK81" s="2">
        <v>42.78</v>
      </c>
      <c r="AL81" s="2">
        <v>167.57</v>
      </c>
      <c r="AM81" s="2">
        <v>105.49610432702576</v>
      </c>
      <c r="AN81" s="2">
        <v>49.151951242324166</v>
      </c>
    </row>
    <row r="82" spans="2:40" x14ac:dyDescent="0.35">
      <c r="B82" s="15">
        <v>42116</v>
      </c>
      <c r="C82" s="49" t="str">
        <f>$S$4</f>
        <v>AAPL</v>
      </c>
      <c r="D82" s="53">
        <f>CHOOSE($S$3,AJ82,AK82,AL82,AM82,AN82)</f>
        <v>127.51</v>
      </c>
      <c r="E82" s="55">
        <f t="shared" si="7"/>
        <v>1.342196053241102E-2</v>
      </c>
      <c r="F82" s="55">
        <f t="shared" si="10"/>
        <v>1.342196053241102E-2</v>
      </c>
      <c r="G82" s="70">
        <f t="shared" si="11"/>
        <v>1.2106970689527943E-2</v>
      </c>
      <c r="H82" s="53"/>
      <c r="I82" s="15">
        <v>42116</v>
      </c>
      <c r="J82" s="55">
        <v>4.5999999999999999E-3</v>
      </c>
      <c r="K82" s="55">
        <v>-3.7000000000000002E-3</v>
      </c>
      <c r="L82" s="55">
        <v>1.7000000000000001E-3</v>
      </c>
      <c r="M82" s="55">
        <v>0</v>
      </c>
      <c r="N82" s="70">
        <f t="shared" si="12"/>
        <v>4.0908548707753473E-3</v>
      </c>
      <c r="O82" s="70">
        <f t="shared" si="8"/>
        <v>-3.6083499005964219E-3</v>
      </c>
      <c r="P82" s="70">
        <f t="shared" si="9"/>
        <v>1.9984095427435389E-3</v>
      </c>
      <c r="AI82" s="15">
        <v>42116</v>
      </c>
      <c r="AJ82" s="2">
        <v>127.51</v>
      </c>
      <c r="AK82" s="2">
        <v>42.43</v>
      </c>
      <c r="AL82" s="2">
        <v>162.77000000000001</v>
      </c>
      <c r="AM82" s="2">
        <v>103.55840554116367</v>
      </c>
      <c r="AN82" s="2">
        <v>48.246912956544833</v>
      </c>
    </row>
    <row r="83" spans="2:40" x14ac:dyDescent="0.35">
      <c r="B83" s="15">
        <v>42115</v>
      </c>
      <c r="C83" s="49" t="str">
        <f>$S$4</f>
        <v>AAPL</v>
      </c>
      <c r="D83" s="53">
        <f>CHOOSE($S$3,AJ83,AK83,AL83,AM83,AN83)</f>
        <v>125.81</v>
      </c>
      <c r="E83" s="55">
        <f t="shared" si="7"/>
        <v>-5.4694758045354328E-3</v>
      </c>
      <c r="F83" s="55">
        <f t="shared" si="10"/>
        <v>-5.4694758045354328E-3</v>
      </c>
      <c r="G83" s="70">
        <f t="shared" si="11"/>
        <v>-6.7844656474185094E-3</v>
      </c>
      <c r="H83" s="53"/>
      <c r="I83" s="15">
        <v>42115</v>
      </c>
      <c r="J83" s="55">
        <v>-1E-3</v>
      </c>
      <c r="K83" s="55">
        <v>1.9E-3</v>
      </c>
      <c r="L83" s="55">
        <v>-7.6E-3</v>
      </c>
      <c r="M83" s="55">
        <v>0</v>
      </c>
      <c r="N83" s="70">
        <f t="shared" si="12"/>
        <v>-1.5091451292246526E-3</v>
      </c>
      <c r="O83" s="70">
        <f t="shared" si="8"/>
        <v>1.9916500994035784E-3</v>
      </c>
      <c r="P83" s="70">
        <f t="shared" si="9"/>
        <v>-7.3015904572564612E-3</v>
      </c>
      <c r="AI83" s="15">
        <v>42115</v>
      </c>
      <c r="AJ83" s="2">
        <v>125.81</v>
      </c>
      <c r="AK83" s="2">
        <v>42.09</v>
      </c>
      <c r="AL83" s="2">
        <v>161.68</v>
      </c>
      <c r="AM83" s="2">
        <v>102.52132748126012</v>
      </c>
      <c r="AN83" s="2">
        <v>47.892062606935049</v>
      </c>
    </row>
    <row r="84" spans="2:40" x14ac:dyDescent="0.35">
      <c r="B84" s="15">
        <v>42114</v>
      </c>
      <c r="C84" s="49" t="str">
        <f>$S$4</f>
        <v>AAPL</v>
      </c>
      <c r="D84" s="53">
        <f>CHOOSE($S$3,AJ84,AK84,AL84,AM84,AN84)</f>
        <v>126.5</v>
      </c>
      <c r="E84" s="55">
        <f t="shared" si="7"/>
        <v>2.2625580413609195E-2</v>
      </c>
      <c r="F84" s="55">
        <f t="shared" si="10"/>
        <v>2.2625580413609195E-2</v>
      </c>
      <c r="G84" s="70">
        <f t="shared" si="11"/>
        <v>2.1310590570726116E-2</v>
      </c>
      <c r="H84" s="53"/>
      <c r="I84" s="15">
        <v>42114</v>
      </c>
      <c r="J84" s="55">
        <v>9.4999999999999998E-3</v>
      </c>
      <c r="K84" s="55">
        <v>1.6000000000000001E-3</v>
      </c>
      <c r="L84" s="55">
        <v>-2.7000000000000001E-3</v>
      </c>
      <c r="M84" s="55">
        <v>0</v>
      </c>
      <c r="N84" s="70">
        <f t="shared" si="12"/>
        <v>8.9908548707753472E-3</v>
      </c>
      <c r="O84" s="70">
        <f t="shared" si="8"/>
        <v>1.6916500994035783E-3</v>
      </c>
      <c r="P84" s="70">
        <f t="shared" si="9"/>
        <v>-2.4015904572564613E-3</v>
      </c>
      <c r="AI84" s="15">
        <v>42114</v>
      </c>
      <c r="AJ84" s="2">
        <v>126.5</v>
      </c>
      <c r="AK84" s="2">
        <v>42.35</v>
      </c>
      <c r="AL84" s="2">
        <v>163.55000000000001</v>
      </c>
      <c r="AM84" s="2">
        <v>103.39534830505099</v>
      </c>
      <c r="AN84" s="2">
        <v>48.316944120162972</v>
      </c>
    </row>
    <row r="85" spans="2:40" x14ac:dyDescent="0.35">
      <c r="B85" s="15">
        <v>42111</v>
      </c>
      <c r="C85" s="49" t="str">
        <f>$S$4</f>
        <v>AAPL</v>
      </c>
      <c r="D85" s="53">
        <f>CHOOSE($S$3,AJ85,AK85,AL85,AM85,AN85)</f>
        <v>123.67</v>
      </c>
      <c r="E85" s="55">
        <f t="shared" si="7"/>
        <v>-1.133680483567483E-2</v>
      </c>
      <c r="F85" s="55">
        <f t="shared" si="10"/>
        <v>-1.133680483567483E-2</v>
      </c>
      <c r="G85" s="70">
        <f t="shared" si="11"/>
        <v>-1.2651794678557907E-2</v>
      </c>
      <c r="H85" s="53"/>
      <c r="I85" s="15">
        <v>42111</v>
      </c>
      <c r="J85" s="55">
        <v>-1.23E-2</v>
      </c>
      <c r="K85" s="55">
        <v>-4.5999999999999999E-3</v>
      </c>
      <c r="L85" s="55">
        <v>2.2000000000000001E-3</v>
      </c>
      <c r="M85" s="55">
        <v>0</v>
      </c>
      <c r="N85" s="70">
        <f t="shared" si="12"/>
        <v>-1.2809145129224653E-2</v>
      </c>
      <c r="O85" s="70">
        <f t="shared" si="8"/>
        <v>-4.5083499005964213E-3</v>
      </c>
      <c r="P85" s="70">
        <f t="shared" si="9"/>
        <v>2.498409542743539E-3</v>
      </c>
      <c r="AI85" s="15">
        <v>42111</v>
      </c>
      <c r="AJ85" s="2">
        <v>123.67</v>
      </c>
      <c r="AK85" s="2">
        <v>41.08</v>
      </c>
      <c r="AL85" s="2">
        <v>158.15</v>
      </c>
      <c r="AM85" s="2">
        <v>100.53186751853796</v>
      </c>
      <c r="AN85" s="2">
        <v>46.794824622128985</v>
      </c>
    </row>
    <row r="86" spans="2:40" x14ac:dyDescent="0.35">
      <c r="B86" s="15">
        <v>42110</v>
      </c>
      <c r="C86" s="49" t="str">
        <f>$S$4</f>
        <v>AAPL</v>
      </c>
      <c r="D86" s="53">
        <f>CHOOSE($S$3,AJ86,AK86,AL86,AM86,AN86)</f>
        <v>125.08</v>
      </c>
      <c r="E86" s="55">
        <f t="shared" si="7"/>
        <v>-4.7854613577252821E-3</v>
      </c>
      <c r="F86" s="55">
        <f t="shared" si="10"/>
        <v>-4.7854613577252821E-3</v>
      </c>
      <c r="G86" s="70">
        <f t="shared" si="11"/>
        <v>-6.1004512006083596E-3</v>
      </c>
      <c r="H86" s="53"/>
      <c r="I86" s="15">
        <v>42110</v>
      </c>
      <c r="J86" s="55">
        <v>-8.0000000000000004E-4</v>
      </c>
      <c r="K86" s="55">
        <v>-8.9999999999999998E-4</v>
      </c>
      <c r="L86" s="55">
        <v>-2.0999999999999999E-3</v>
      </c>
      <c r="M86" s="55">
        <v>0</v>
      </c>
      <c r="N86" s="70">
        <f t="shared" si="12"/>
        <v>-1.3091451292246525E-3</v>
      </c>
      <c r="O86" s="70">
        <f t="shared" si="8"/>
        <v>-8.0834990059642164E-4</v>
      </c>
      <c r="P86" s="70">
        <f t="shared" si="9"/>
        <v>-1.801590457256461E-3</v>
      </c>
      <c r="AI86" s="15">
        <v>42110</v>
      </c>
      <c r="AJ86" s="2">
        <v>125.08</v>
      </c>
      <c r="AK86" s="2">
        <v>41.61</v>
      </c>
      <c r="AL86" s="2">
        <v>160.57</v>
      </c>
      <c r="AM86" s="2">
        <v>101.87413073546254</v>
      </c>
      <c r="AN86" s="2">
        <v>47.454715502247318</v>
      </c>
    </row>
    <row r="87" spans="2:40" x14ac:dyDescent="0.35">
      <c r="B87" s="15">
        <v>42109</v>
      </c>
      <c r="C87" s="49" t="str">
        <f>$S$4</f>
        <v>AAPL</v>
      </c>
      <c r="D87" s="53">
        <f>CHOOSE($S$3,AJ87,AK87,AL87,AM87,AN87)</f>
        <v>125.68</v>
      </c>
      <c r="E87" s="55">
        <f t="shared" si="7"/>
        <v>3.7466662665094018E-3</v>
      </c>
      <c r="F87" s="55">
        <f t="shared" si="10"/>
        <v>3.7466662665094018E-3</v>
      </c>
      <c r="G87" s="70">
        <f t="shared" si="11"/>
        <v>2.4316764236263248E-3</v>
      </c>
      <c r="H87" s="53"/>
      <c r="I87" s="15">
        <v>42109</v>
      </c>
      <c r="J87" s="55">
        <v>5.6999999999999993E-3</v>
      </c>
      <c r="K87" s="55">
        <v>2.5000000000000001E-3</v>
      </c>
      <c r="L87" s="55">
        <v>3.2000000000000002E-3</v>
      </c>
      <c r="M87" s="55">
        <v>0</v>
      </c>
      <c r="N87" s="70">
        <f t="shared" si="12"/>
        <v>5.1908548707753467E-3</v>
      </c>
      <c r="O87" s="70">
        <f t="shared" si="8"/>
        <v>2.5916500994035783E-3</v>
      </c>
      <c r="P87" s="70">
        <f t="shared" si="9"/>
        <v>3.498409542743539E-3</v>
      </c>
      <c r="AI87" s="15">
        <v>42109</v>
      </c>
      <c r="AJ87" s="2">
        <v>125.68</v>
      </c>
      <c r="AK87" s="2">
        <v>41.71</v>
      </c>
      <c r="AL87" s="2">
        <v>161.56</v>
      </c>
      <c r="AM87" s="2">
        <v>102.43252654425822</v>
      </c>
      <c r="AN87" s="2">
        <v>47.658030573744931</v>
      </c>
    </row>
    <row r="88" spans="2:40" x14ac:dyDescent="0.35">
      <c r="B88" s="15">
        <v>42108</v>
      </c>
      <c r="C88" s="49" t="str">
        <f>$S$4</f>
        <v>AAPL</v>
      </c>
      <c r="D88" s="53">
        <f>CHOOSE($S$3,AJ88,AK88,AL88,AM88,AN88)</f>
        <v>125.21</v>
      </c>
      <c r="E88" s="55">
        <f t="shared" si="7"/>
        <v>-4.3034812989923271E-3</v>
      </c>
      <c r="F88" s="55">
        <f t="shared" si="10"/>
        <v>-4.3034812989923271E-3</v>
      </c>
      <c r="G88" s="70">
        <f t="shared" si="11"/>
        <v>-5.6184711418754037E-3</v>
      </c>
      <c r="H88" s="53"/>
      <c r="I88" s="15">
        <v>42108</v>
      </c>
      <c r="J88" s="55">
        <v>1.1000000000000001E-3</v>
      </c>
      <c r="K88" s="55">
        <v>-1.9E-3</v>
      </c>
      <c r="L88" s="55">
        <v>1.9E-3</v>
      </c>
      <c r="M88" s="55">
        <v>0</v>
      </c>
      <c r="N88" s="70">
        <f t="shared" si="12"/>
        <v>5.9085487077534748E-4</v>
      </c>
      <c r="O88" s="70">
        <f t="shared" si="8"/>
        <v>-1.8083499005964218E-3</v>
      </c>
      <c r="P88" s="70">
        <f t="shared" si="9"/>
        <v>2.1984095427435386E-3</v>
      </c>
      <c r="AI88" s="15">
        <v>42108</v>
      </c>
      <c r="AJ88" s="2">
        <v>125.21</v>
      </c>
      <c r="AK88" s="2">
        <v>41.11</v>
      </c>
      <c r="AL88" s="2">
        <v>159.75</v>
      </c>
      <c r="AM88" s="2">
        <v>101.66720579384707</v>
      </c>
      <c r="AN88" s="2">
        <v>47.048286398526635</v>
      </c>
    </row>
    <row r="89" spans="2:40" x14ac:dyDescent="0.35">
      <c r="B89" s="15">
        <v>42107</v>
      </c>
      <c r="C89" s="49" t="str">
        <f>$S$4</f>
        <v>AAPL</v>
      </c>
      <c r="D89" s="53">
        <f>CHOOSE($S$3,AJ89,AK89,AL89,AM89,AN89)</f>
        <v>125.75</v>
      </c>
      <c r="E89" s="55">
        <f t="shared" si="7"/>
        <v>-1.9860979716294028E-3</v>
      </c>
      <c r="F89" s="55">
        <f t="shared" si="10"/>
        <v>-1.9860979716294028E-3</v>
      </c>
      <c r="G89" s="70">
        <f t="shared" si="11"/>
        <v>-3.3010878145124799E-3</v>
      </c>
      <c r="H89" s="53"/>
      <c r="I89" s="15">
        <v>42107</v>
      </c>
      <c r="J89" s="55">
        <v>-3.8E-3</v>
      </c>
      <c r="K89" s="55">
        <v>5.0000000000000001E-3</v>
      </c>
      <c r="L89" s="55">
        <v>2.3E-3</v>
      </c>
      <c r="M89" s="55">
        <v>0</v>
      </c>
      <c r="N89" s="70">
        <f t="shared" si="12"/>
        <v>-4.3091451292246521E-3</v>
      </c>
      <c r="O89" s="70">
        <f t="shared" si="8"/>
        <v>5.0916500994035788E-3</v>
      </c>
      <c r="P89" s="70">
        <f t="shared" si="9"/>
        <v>2.5984095427435388E-3</v>
      </c>
      <c r="AI89" s="15">
        <v>42107</v>
      </c>
      <c r="AJ89" s="2">
        <v>125.75</v>
      </c>
      <c r="AK89" s="2">
        <v>41.22</v>
      </c>
      <c r="AL89" s="2">
        <v>159.83000000000001</v>
      </c>
      <c r="AM89" s="2">
        <v>101.91189522451879</v>
      </c>
      <c r="AN89" s="2">
        <v>47.123011556080996</v>
      </c>
    </row>
    <row r="90" spans="2:40" x14ac:dyDescent="0.35">
      <c r="B90" s="15">
        <v>42104</v>
      </c>
      <c r="C90" s="49" t="str">
        <f>$S$4</f>
        <v>AAPL</v>
      </c>
      <c r="D90" s="53">
        <f>CHOOSE($S$3,AJ90,AK90,AL90,AM90,AN90)</f>
        <v>126</v>
      </c>
      <c r="E90" s="55">
        <f t="shared" si="7"/>
        <v>4.2152207798696918E-3</v>
      </c>
      <c r="F90" s="55">
        <f t="shared" si="10"/>
        <v>4.2152207798696918E-3</v>
      </c>
      <c r="G90" s="70">
        <f t="shared" si="11"/>
        <v>2.9002309369866148E-3</v>
      </c>
      <c r="H90" s="53"/>
      <c r="I90" s="15">
        <v>42104</v>
      </c>
      <c r="J90" s="55">
        <v>4.8999999999999998E-3</v>
      </c>
      <c r="K90" s="55">
        <v>-7.000000000000001E-4</v>
      </c>
      <c r="L90" s="55">
        <v>-2.8000000000000004E-3</v>
      </c>
      <c r="M90" s="55">
        <v>0</v>
      </c>
      <c r="N90" s="70">
        <f t="shared" si="12"/>
        <v>4.3908548707753473E-3</v>
      </c>
      <c r="O90" s="70">
        <f t="shared" si="8"/>
        <v>-6.0834990059642176E-4</v>
      </c>
      <c r="P90" s="70">
        <f t="shared" si="9"/>
        <v>-2.5015904572564616E-3</v>
      </c>
      <c r="AI90" s="15">
        <v>42104</v>
      </c>
      <c r="AJ90" s="2">
        <v>126</v>
      </c>
      <c r="AK90" s="2">
        <v>41.18</v>
      </c>
      <c r="AL90" s="2">
        <v>160.31</v>
      </c>
      <c r="AM90" s="2">
        <v>102.16622973299532</v>
      </c>
      <c r="AN90" s="2">
        <v>47.170907106369221</v>
      </c>
    </row>
    <row r="91" spans="2:40" x14ac:dyDescent="0.35">
      <c r="B91" s="15">
        <v>42103</v>
      </c>
      <c r="C91" s="49" t="str">
        <f>$S$4</f>
        <v>AAPL</v>
      </c>
      <c r="D91" s="53">
        <f>CHOOSE($S$3,AJ91,AK91,AL91,AM91,AN91)</f>
        <v>125.47</v>
      </c>
      <c r="E91" s="55">
        <f t="shared" si="7"/>
        <v>7.6806522072871992E-3</v>
      </c>
      <c r="F91" s="55">
        <f t="shared" si="10"/>
        <v>7.6806522072871992E-3</v>
      </c>
      <c r="G91" s="70">
        <f t="shared" si="11"/>
        <v>6.3656623644041226E-3</v>
      </c>
      <c r="H91" s="53"/>
      <c r="I91" s="15">
        <v>42103</v>
      </c>
      <c r="J91" s="55">
        <v>4.0999999999999995E-3</v>
      </c>
      <c r="K91" s="55">
        <v>-6.8999999999999999E-3</v>
      </c>
      <c r="L91" s="55">
        <v>-5.9999999999999995E-4</v>
      </c>
      <c r="M91" s="55">
        <v>0</v>
      </c>
      <c r="N91" s="70">
        <f t="shared" si="12"/>
        <v>3.5908548707753469E-3</v>
      </c>
      <c r="O91" s="70">
        <f t="shared" si="8"/>
        <v>-6.8083499005964212E-3</v>
      </c>
      <c r="P91" s="70">
        <f t="shared" si="9"/>
        <v>-3.0159045725646112E-4</v>
      </c>
      <c r="AI91" s="15">
        <v>42103</v>
      </c>
      <c r="AJ91" s="2">
        <v>125.47</v>
      </c>
      <c r="AK91" s="2">
        <v>40.94</v>
      </c>
      <c r="AL91" s="2">
        <v>159.79</v>
      </c>
      <c r="AM91" s="2">
        <v>101.78565723197278</v>
      </c>
      <c r="AN91" s="2">
        <v>46.95694489116368</v>
      </c>
    </row>
    <row r="92" spans="2:40" x14ac:dyDescent="0.35">
      <c r="B92" s="15">
        <v>42102</v>
      </c>
      <c r="C92" s="49" t="str">
        <f>$S$4</f>
        <v>AAPL</v>
      </c>
      <c r="D92" s="53">
        <f>CHOOSE($S$3,AJ92,AK92,AL92,AM92,AN92)</f>
        <v>124.51</v>
      </c>
      <c r="E92" s="55">
        <f t="shared" si="7"/>
        <v>-3.2874984505566877E-3</v>
      </c>
      <c r="F92" s="55">
        <f t="shared" si="10"/>
        <v>-3.2874984505566877E-3</v>
      </c>
      <c r="G92" s="70">
        <f t="shared" si="11"/>
        <v>-4.6024882934397647E-3</v>
      </c>
      <c r="H92" s="53"/>
      <c r="I92" s="15">
        <v>42102</v>
      </c>
      <c r="J92" s="55">
        <v>3.7000000000000002E-3</v>
      </c>
      <c r="K92" s="55">
        <v>5.3E-3</v>
      </c>
      <c r="L92" s="55">
        <v>-7.1999999999999998E-3</v>
      </c>
      <c r="M92" s="55">
        <v>0</v>
      </c>
      <c r="N92" s="70">
        <f t="shared" si="12"/>
        <v>3.1908548707753476E-3</v>
      </c>
      <c r="O92" s="70">
        <f t="shared" si="8"/>
        <v>5.3916500994035787E-3</v>
      </c>
      <c r="P92" s="70">
        <f t="shared" si="9"/>
        <v>-6.901590457256461E-3</v>
      </c>
      <c r="AI92" s="15">
        <v>42102</v>
      </c>
      <c r="AJ92" s="2">
        <v>124.51</v>
      </c>
      <c r="AK92" s="2">
        <v>40.880000000000003</v>
      </c>
      <c r="AL92" s="2">
        <v>159.31</v>
      </c>
      <c r="AM92" s="2">
        <v>101.2433852854368</v>
      </c>
      <c r="AN92" s="2">
        <v>46.852007810908866</v>
      </c>
    </row>
    <row r="93" spans="2:40" x14ac:dyDescent="0.35">
      <c r="B93" s="15">
        <v>42101</v>
      </c>
      <c r="C93" s="49" t="str">
        <f>$S$4</f>
        <v>AAPL</v>
      </c>
      <c r="D93" s="53">
        <f>CHOOSE($S$3,AJ93,AK93,AL93,AM93,AN93)</f>
        <v>124.92</v>
      </c>
      <c r="E93" s="55">
        <f t="shared" si="7"/>
        <v>-1.059053574059139E-2</v>
      </c>
      <c r="F93" s="55">
        <f t="shared" si="10"/>
        <v>-1.059053574059139E-2</v>
      </c>
      <c r="G93" s="70">
        <f t="shared" si="11"/>
        <v>-1.1905525583474467E-2</v>
      </c>
      <c r="H93" s="53"/>
      <c r="I93" s="15">
        <v>42101</v>
      </c>
      <c r="J93" s="55">
        <v>-2.2000000000000001E-3</v>
      </c>
      <c r="K93" s="55">
        <v>-1.9E-3</v>
      </c>
      <c r="L93" s="55">
        <v>-1.6000000000000001E-3</v>
      </c>
      <c r="M93" s="55">
        <v>0</v>
      </c>
      <c r="N93" s="70">
        <f t="shared" si="12"/>
        <v>-2.7091451292246527E-3</v>
      </c>
      <c r="O93" s="70">
        <f t="shared" si="8"/>
        <v>-1.8083499005964218E-3</v>
      </c>
      <c r="P93" s="70">
        <f t="shared" si="9"/>
        <v>-1.3015904572564612E-3</v>
      </c>
      <c r="AI93" s="15">
        <v>42101</v>
      </c>
      <c r="AJ93" s="2">
        <v>124.92</v>
      </c>
      <c r="AK93" s="2">
        <v>40.99</v>
      </c>
      <c r="AL93" s="2">
        <v>159.53</v>
      </c>
      <c r="AM93" s="2">
        <v>101.47998417054032</v>
      </c>
      <c r="AN93" s="2">
        <v>46.947392823121454</v>
      </c>
    </row>
    <row r="94" spans="2:40" x14ac:dyDescent="0.35">
      <c r="B94" s="15">
        <v>42100</v>
      </c>
      <c r="C94" s="49" t="str">
        <f>$S$4</f>
        <v>AAPL</v>
      </c>
      <c r="D94" s="53">
        <f>CHOOSE($S$3,AJ94,AK94,AL94,AM94,AN94)</f>
        <v>126.25</v>
      </c>
      <c r="E94" s="55">
        <f t="shared" si="7"/>
        <v>1.6048889315037687E-2</v>
      </c>
      <c r="F94" s="55">
        <f t="shared" si="10"/>
        <v>1.6048889315037687E-2</v>
      </c>
      <c r="G94" s="70">
        <f t="shared" si="11"/>
        <v>1.4733899472154611E-2</v>
      </c>
      <c r="H94" s="53"/>
      <c r="I94" s="15">
        <v>42100</v>
      </c>
      <c r="J94" s="55">
        <v>6.0999999999999995E-3</v>
      </c>
      <c r="K94" s="55">
        <v>-2.7000000000000001E-3</v>
      </c>
      <c r="L94" s="55">
        <v>-1.5E-3</v>
      </c>
      <c r="M94" s="55">
        <v>0</v>
      </c>
      <c r="N94" s="70">
        <f t="shared" si="12"/>
        <v>5.5908548707753469E-3</v>
      </c>
      <c r="O94" s="70">
        <f t="shared" si="8"/>
        <v>-2.6083499005964219E-3</v>
      </c>
      <c r="P94" s="70">
        <f t="shared" si="9"/>
        <v>-1.2015904572564612E-3</v>
      </c>
      <c r="AI94" s="15">
        <v>42100</v>
      </c>
      <c r="AJ94" s="2">
        <v>126.25</v>
      </c>
      <c r="AK94" s="2">
        <v>41.01</v>
      </c>
      <c r="AL94" s="2">
        <v>159.5</v>
      </c>
      <c r="AM94" s="2">
        <v>102.01066164916416</v>
      </c>
      <c r="AN94" s="2">
        <v>46.954431915203983</v>
      </c>
    </row>
    <row r="95" spans="2:40" x14ac:dyDescent="0.35">
      <c r="B95" s="15">
        <v>42096</v>
      </c>
      <c r="C95" s="49" t="str">
        <f>$S$4</f>
        <v>AAPL</v>
      </c>
      <c r="D95" s="53">
        <f>CHOOSE($S$3,AJ95,AK95,AL95,AM95,AN95)</f>
        <v>124.24</v>
      </c>
      <c r="E95" s="55">
        <f t="shared" si="7"/>
        <v>8.5684785815342383E-3</v>
      </c>
      <c r="F95" s="55">
        <f t="shared" si="10"/>
        <v>8.5684785815342383E-3</v>
      </c>
      <c r="G95" s="70">
        <f t="shared" si="11"/>
        <v>7.2534887386511617E-3</v>
      </c>
      <c r="H95" s="53"/>
      <c r="I95" s="15">
        <v>42096</v>
      </c>
      <c r="J95" s="55">
        <v>3.4999999999999996E-3</v>
      </c>
      <c r="K95" s="55">
        <v>-8.9999999999999998E-4</v>
      </c>
      <c r="L95" s="55">
        <v>3.0999999999999999E-3</v>
      </c>
      <c r="M95" s="55">
        <v>0</v>
      </c>
      <c r="N95" s="70">
        <f t="shared" si="12"/>
        <v>2.990854870775347E-3</v>
      </c>
      <c r="O95" s="70">
        <f t="shared" si="8"/>
        <v>-8.0834990059642164E-4</v>
      </c>
      <c r="P95" s="70">
        <f t="shared" si="9"/>
        <v>3.3984095427435387E-3</v>
      </c>
      <c r="AI95" s="15">
        <v>42096</v>
      </c>
      <c r="AJ95" s="2">
        <v>124.24</v>
      </c>
      <c r="AK95" s="2">
        <v>39.770000000000003</v>
      </c>
      <c r="AL95" s="2">
        <v>157.93</v>
      </c>
      <c r="AM95" s="2">
        <v>100.69655763988894</v>
      </c>
      <c r="AN95" s="2">
        <v>46.013470079979783</v>
      </c>
    </row>
    <row r="96" spans="2:40" x14ac:dyDescent="0.35">
      <c r="B96" s="15">
        <v>42095</v>
      </c>
      <c r="C96" s="49" t="str">
        <f>$S$4</f>
        <v>AAPL</v>
      </c>
      <c r="D96" s="53">
        <f>CHOOSE($S$3,AJ96,AK96,AL96,AM96,AN96)</f>
        <v>123.18</v>
      </c>
      <c r="E96" s="55">
        <f t="shared" si="7"/>
        <v>-1.3791427164684099E-3</v>
      </c>
      <c r="F96" s="55">
        <f t="shared" si="10"/>
        <v>-1.3791427164684099E-3</v>
      </c>
      <c r="G96" s="70">
        <f t="shared" si="11"/>
        <v>-2.6941325593514871E-3</v>
      </c>
      <c r="H96" s="53"/>
      <c r="I96" s="15">
        <v>42095</v>
      </c>
      <c r="J96" s="55">
        <v>-3.8E-3</v>
      </c>
      <c r="K96" s="55">
        <v>3.4000000000000002E-3</v>
      </c>
      <c r="L96" s="55">
        <v>4.1999999999999997E-3</v>
      </c>
      <c r="M96" s="55">
        <v>0</v>
      </c>
      <c r="N96" s="70">
        <f t="shared" si="12"/>
        <v>-4.3091451292246521E-3</v>
      </c>
      <c r="O96" s="70">
        <f t="shared" si="8"/>
        <v>3.4916500994035785E-3</v>
      </c>
      <c r="P96" s="70">
        <f t="shared" si="9"/>
        <v>4.4984095427435386E-3</v>
      </c>
      <c r="AI96" s="15">
        <v>42095</v>
      </c>
      <c r="AJ96" s="2">
        <v>123.18</v>
      </c>
      <c r="AK96" s="2">
        <v>40.19</v>
      </c>
      <c r="AL96" s="2">
        <v>156.68</v>
      </c>
      <c r="AM96" s="2">
        <v>99.868490937339359</v>
      </c>
      <c r="AN96" s="2">
        <v>46.074341878353266</v>
      </c>
    </row>
    <row r="97" spans="2:40" x14ac:dyDescent="0.35">
      <c r="B97" s="15">
        <v>42094</v>
      </c>
      <c r="C97" s="49" t="str">
        <f>$S$4</f>
        <v>AAPL</v>
      </c>
      <c r="D97" s="53">
        <f>CHOOSE($S$3,AJ97,AK97,AL97,AM97,AN97)</f>
        <v>123.35</v>
      </c>
      <c r="E97" s="55">
        <f t="shared" si="7"/>
        <v>-1.5525389267127295E-2</v>
      </c>
      <c r="F97" s="55">
        <f t="shared" si="10"/>
        <v>-1.5525389267127295E-2</v>
      </c>
      <c r="G97" s="70">
        <f t="shared" si="11"/>
        <v>-1.6840379110010371E-2</v>
      </c>
      <c r="H97" s="53"/>
      <c r="I97" s="15">
        <v>42094</v>
      </c>
      <c r="J97" s="55">
        <v>-7.4999999999999997E-3</v>
      </c>
      <c r="K97" s="55">
        <v>4.1999999999999997E-3</v>
      </c>
      <c r="L97" s="55">
        <v>3.7000000000000002E-3</v>
      </c>
      <c r="M97" s="55">
        <v>0</v>
      </c>
      <c r="N97" s="70">
        <f t="shared" si="12"/>
        <v>-8.0091451292246523E-3</v>
      </c>
      <c r="O97" s="70">
        <f t="shared" si="8"/>
        <v>4.2916500994035784E-3</v>
      </c>
      <c r="P97" s="70">
        <f t="shared" si="9"/>
        <v>3.998409542743539E-3</v>
      </c>
      <c r="AI97" s="15">
        <v>42094</v>
      </c>
      <c r="AJ97" s="2">
        <v>123.35</v>
      </c>
      <c r="AK97" s="2">
        <v>40.130000000000003</v>
      </c>
      <c r="AL97" s="2">
        <v>157.97999999999999</v>
      </c>
      <c r="AM97" s="2">
        <v>100.35171763210683</v>
      </c>
      <c r="AN97" s="2">
        <v>46.231092721837484</v>
      </c>
    </row>
    <row r="98" spans="2:40" x14ac:dyDescent="0.35">
      <c r="B98" s="15">
        <v>42093</v>
      </c>
      <c r="C98" s="49" t="str">
        <f>$S$4</f>
        <v>AAPL</v>
      </c>
      <c r="D98" s="53">
        <f>CHOOSE($S$3,AJ98,AK98,AL98,AM98,AN98)</f>
        <v>125.28</v>
      </c>
      <c r="E98" s="55">
        <f t="shared" si="7"/>
        <v>2.5055865020872127E-2</v>
      </c>
      <c r="F98" s="55">
        <f t="shared" si="10"/>
        <v>2.5055865020872127E-2</v>
      </c>
      <c r="G98" s="70">
        <f t="shared" si="11"/>
        <v>2.3740875177989049E-2</v>
      </c>
      <c r="H98" s="53"/>
      <c r="I98" s="15">
        <v>42093</v>
      </c>
      <c r="J98" s="55">
        <v>1.24E-2</v>
      </c>
      <c r="K98" s="55">
        <v>1E-4</v>
      </c>
      <c r="L98" s="55">
        <v>-4.0000000000000002E-4</v>
      </c>
      <c r="M98" s="55">
        <v>0</v>
      </c>
      <c r="N98" s="70">
        <f t="shared" si="12"/>
        <v>1.1890854870775347E-2</v>
      </c>
      <c r="O98" s="70">
        <f t="shared" si="8"/>
        <v>1.9165009940357833E-4</v>
      </c>
      <c r="P98" s="70">
        <f t="shared" si="9"/>
        <v>-1.0159045725646119E-4</v>
      </c>
      <c r="AI98" s="15">
        <v>42093</v>
      </c>
      <c r="AJ98" s="2">
        <v>125.28</v>
      </c>
      <c r="AK98" s="2">
        <v>40.43</v>
      </c>
      <c r="AL98" s="2">
        <v>160.12</v>
      </c>
      <c r="AM98" s="2">
        <v>101.81647903664249</v>
      </c>
      <c r="AN98" s="2">
        <v>46.717021321612229</v>
      </c>
    </row>
    <row r="99" spans="2:40" x14ac:dyDescent="0.35">
      <c r="B99" s="15">
        <v>42090</v>
      </c>
      <c r="C99" s="49" t="str">
        <f>$S$4</f>
        <v>AAPL</v>
      </c>
      <c r="D99" s="53">
        <f>CHOOSE($S$3,AJ99,AK99,AL99,AM99,AN99)</f>
        <v>122.18</v>
      </c>
      <c r="E99" s="55">
        <f t="shared" si="7"/>
        <v>-8.0701477317719778E-3</v>
      </c>
      <c r="F99" s="55">
        <f t="shared" si="10"/>
        <v>-8.0701477317719778E-3</v>
      </c>
      <c r="G99" s="70">
        <f t="shared" si="11"/>
        <v>-9.3851375746550544E-3</v>
      </c>
      <c r="H99" s="53"/>
      <c r="I99" s="15">
        <v>42090</v>
      </c>
      <c r="J99" s="55">
        <v>3.2000000000000002E-3</v>
      </c>
      <c r="K99" s="55">
        <v>5.0000000000000001E-3</v>
      </c>
      <c r="L99" s="55">
        <v>-6.8999999999999999E-3</v>
      </c>
      <c r="M99" s="55">
        <v>0</v>
      </c>
      <c r="N99" s="70">
        <f t="shared" si="12"/>
        <v>2.6908548707753476E-3</v>
      </c>
      <c r="O99" s="70">
        <f t="shared" si="8"/>
        <v>5.0916500994035788E-3</v>
      </c>
      <c r="P99" s="70">
        <f t="shared" si="9"/>
        <v>-6.6015904572564611E-3</v>
      </c>
      <c r="AI99" s="15">
        <v>42090</v>
      </c>
      <c r="AJ99" s="2">
        <v>122.18</v>
      </c>
      <c r="AK99" s="2">
        <v>40.44</v>
      </c>
      <c r="AL99" s="2">
        <v>157.88</v>
      </c>
      <c r="AM99" s="2">
        <v>99.844595213082556</v>
      </c>
      <c r="AN99" s="2">
        <v>46.396024772244843</v>
      </c>
    </row>
    <row r="100" spans="2:40" x14ac:dyDescent="0.35">
      <c r="B100" s="15">
        <v>42089</v>
      </c>
      <c r="C100" s="49" t="str">
        <f>$S$4</f>
        <v>AAPL</v>
      </c>
      <c r="D100" s="53">
        <f>CHOOSE($S$3,AJ100,AK100,AL100,AM100,AN100)</f>
        <v>123.17</v>
      </c>
      <c r="E100" s="55">
        <f t="shared" si="7"/>
        <v>7.0067094541211936E-3</v>
      </c>
      <c r="F100" s="55">
        <f t="shared" si="10"/>
        <v>7.0067094541211936E-3</v>
      </c>
      <c r="G100" s="70">
        <f t="shared" si="11"/>
        <v>5.691719611238117E-3</v>
      </c>
      <c r="H100" s="53"/>
      <c r="I100" s="15">
        <v>42089</v>
      </c>
      <c r="J100" s="55">
        <v>-2.2000000000000001E-3</v>
      </c>
      <c r="K100" s="55">
        <v>1.1000000000000001E-3</v>
      </c>
      <c r="L100" s="55">
        <v>-5.9999999999999995E-4</v>
      </c>
      <c r="M100" s="55">
        <v>0</v>
      </c>
      <c r="N100" s="70">
        <f t="shared" si="12"/>
        <v>-2.7091451292246527E-3</v>
      </c>
      <c r="O100" s="70">
        <f t="shared" si="8"/>
        <v>1.1916500994035783E-3</v>
      </c>
      <c r="P100" s="70">
        <f t="shared" si="9"/>
        <v>-3.0159045725646112E-4</v>
      </c>
      <c r="AI100" s="15">
        <v>42089</v>
      </c>
      <c r="AJ100" s="2">
        <v>123.17</v>
      </c>
      <c r="AK100" s="2">
        <v>40.68</v>
      </c>
      <c r="AL100" s="2">
        <v>158.07</v>
      </c>
      <c r="AM100" s="2">
        <v>100.30918433577341</v>
      </c>
      <c r="AN100" s="2">
        <v>46.561615983466481</v>
      </c>
    </row>
    <row r="101" spans="2:40" x14ac:dyDescent="0.35">
      <c r="B101" s="15">
        <v>42088</v>
      </c>
      <c r="C101" s="49" t="str">
        <f>$S$4</f>
        <v>AAPL</v>
      </c>
      <c r="D101" s="53">
        <f>CHOOSE($S$3,AJ101,AK101,AL101,AM101,AN101)</f>
        <v>122.31</v>
      </c>
      <c r="E101" s="55">
        <f t="shared" si="7"/>
        <v>-2.6463827530763678E-2</v>
      </c>
      <c r="F101" s="55">
        <f t="shared" si="10"/>
        <v>-2.6463827530763678E-2</v>
      </c>
      <c r="G101" s="70">
        <f t="shared" si="11"/>
        <v>-2.7778817373646757E-2</v>
      </c>
      <c r="H101" s="53"/>
      <c r="I101" s="15">
        <v>42088</v>
      </c>
      <c r="J101" s="55">
        <v>-1.5600000000000001E-2</v>
      </c>
      <c r="K101" s="55">
        <v>-9.7999999999999997E-3</v>
      </c>
      <c r="L101" s="55">
        <v>1.03E-2</v>
      </c>
      <c r="M101" s="55">
        <v>0</v>
      </c>
      <c r="N101" s="70">
        <f t="shared" si="12"/>
        <v>-1.6109145129224654E-2</v>
      </c>
      <c r="O101" s="70">
        <f t="shared" si="8"/>
        <v>-9.7083499005964219E-3</v>
      </c>
      <c r="P101" s="70">
        <f t="shared" si="9"/>
        <v>1.0598409542743539E-2</v>
      </c>
      <c r="AI101" s="15">
        <v>42088</v>
      </c>
      <c r="AJ101" s="2">
        <v>122.31</v>
      </c>
      <c r="AK101" s="2">
        <v>40.92</v>
      </c>
      <c r="AL101" s="2">
        <v>156.69999999999999</v>
      </c>
      <c r="AM101" s="2">
        <v>99.524301784741198</v>
      </c>
      <c r="AN101" s="2">
        <v>46.497190043629622</v>
      </c>
    </row>
    <row r="102" spans="2:40" x14ac:dyDescent="0.35">
      <c r="B102" s="15">
        <v>42087</v>
      </c>
      <c r="C102" s="49" t="str">
        <f>$S$4</f>
        <v>AAPL</v>
      </c>
      <c r="D102" s="53">
        <f>CHOOSE($S$3,AJ102,AK102,AL102,AM102,AN102)</f>
        <v>125.59</v>
      </c>
      <c r="E102" s="55">
        <f t="shared" si="7"/>
        <v>-4.1319089377477485E-3</v>
      </c>
      <c r="F102" s="55">
        <f t="shared" si="10"/>
        <v>-4.1319089377477485E-3</v>
      </c>
      <c r="G102" s="70">
        <f t="shared" si="11"/>
        <v>-5.446898780630826E-3</v>
      </c>
      <c r="H102" s="53"/>
      <c r="I102" s="15">
        <v>42087</v>
      </c>
      <c r="J102" s="55">
        <v>-5.1000000000000004E-3</v>
      </c>
      <c r="K102" s="55">
        <v>5.7999999999999996E-3</v>
      </c>
      <c r="L102" s="55">
        <v>-2.8999999999999998E-3</v>
      </c>
      <c r="M102" s="55">
        <v>0</v>
      </c>
      <c r="N102" s="70">
        <f t="shared" si="12"/>
        <v>-5.609145129224653E-3</v>
      </c>
      <c r="O102" s="70">
        <f t="shared" si="8"/>
        <v>5.8916500994035783E-3</v>
      </c>
      <c r="P102" s="70">
        <f t="shared" si="9"/>
        <v>-2.601590457256461E-3</v>
      </c>
      <c r="AI102" s="15">
        <v>42087</v>
      </c>
      <c r="AJ102" s="2">
        <v>125.59</v>
      </c>
      <c r="AK102" s="2">
        <v>42.34</v>
      </c>
      <c r="AL102" s="2">
        <v>160.44</v>
      </c>
      <c r="AM102" s="2">
        <v>102.04646487165154</v>
      </c>
      <c r="AN102" s="2">
        <v>47.858839785229911</v>
      </c>
    </row>
    <row r="103" spans="2:40" x14ac:dyDescent="0.35">
      <c r="B103" s="15">
        <v>42086</v>
      </c>
      <c r="C103" s="49" t="str">
        <f>$S$4</f>
        <v>AAPL</v>
      </c>
      <c r="D103" s="53">
        <f>CHOOSE($S$3,AJ103,AK103,AL103,AM103,AN103)</f>
        <v>126.11</v>
      </c>
      <c r="E103" s="55">
        <f t="shared" si="7"/>
        <v>1.0361961037420656E-2</v>
      </c>
      <c r="F103" s="55">
        <f t="shared" si="10"/>
        <v>1.0361961037420656E-2</v>
      </c>
      <c r="G103" s="70">
        <f t="shared" si="11"/>
        <v>9.0469711945375796E-3</v>
      </c>
      <c r="H103" s="53"/>
      <c r="I103" s="15">
        <v>42086</v>
      </c>
      <c r="J103" s="55">
        <v>-1.9E-3</v>
      </c>
      <c r="K103" s="55">
        <v>2.0999999999999999E-3</v>
      </c>
      <c r="L103" s="55">
        <v>2.3999999999999998E-3</v>
      </c>
      <c r="M103" s="55">
        <v>0</v>
      </c>
      <c r="N103" s="70">
        <f t="shared" si="12"/>
        <v>-2.4091451292246524E-3</v>
      </c>
      <c r="O103" s="70">
        <f t="shared" si="8"/>
        <v>2.1916500994035781E-3</v>
      </c>
      <c r="P103" s="70">
        <f t="shared" si="9"/>
        <v>2.6984095427435386E-3</v>
      </c>
      <c r="AI103" s="15">
        <v>42086</v>
      </c>
      <c r="AJ103" s="2">
        <v>126.11</v>
      </c>
      <c r="AK103" s="2">
        <v>42.3</v>
      </c>
      <c r="AL103" s="2">
        <v>162.05000000000001</v>
      </c>
      <c r="AM103" s="2">
        <v>102.7697376137103</v>
      </c>
      <c r="AN103" s="2">
        <v>48.076362301617152</v>
      </c>
    </row>
    <row r="104" spans="2:40" x14ac:dyDescent="0.35">
      <c r="B104" s="15">
        <v>42083</v>
      </c>
      <c r="C104" s="49" t="str">
        <f>$S$4</f>
        <v>AAPL</v>
      </c>
      <c r="D104" s="53">
        <f>CHOOSE($S$3,AJ104,AK104,AL104,AM104,AN104)</f>
        <v>124.81</v>
      </c>
      <c r="E104" s="55">
        <f t="shared" si="7"/>
        <v>-1.2658900782394714E-2</v>
      </c>
      <c r="F104" s="55">
        <f t="shared" si="10"/>
        <v>-1.2658900782394714E-2</v>
      </c>
      <c r="G104" s="70">
        <f t="shared" si="11"/>
        <v>-1.3973890625277791E-2</v>
      </c>
      <c r="H104" s="53"/>
      <c r="I104" s="15">
        <v>42083</v>
      </c>
      <c r="J104" s="55">
        <v>8.1000000000000013E-3</v>
      </c>
      <c r="K104" s="55">
        <v>-1.4000000000000002E-3</v>
      </c>
      <c r="L104" s="55">
        <v>5.4000000000000003E-3</v>
      </c>
      <c r="M104" s="55">
        <v>0</v>
      </c>
      <c r="N104" s="70">
        <f t="shared" si="12"/>
        <v>7.5908548707753487E-3</v>
      </c>
      <c r="O104" s="70">
        <f t="shared" si="8"/>
        <v>-1.308349900596422E-3</v>
      </c>
      <c r="P104" s="70">
        <f t="shared" si="9"/>
        <v>5.6984095427435391E-3</v>
      </c>
      <c r="AI104" s="15">
        <v>42083</v>
      </c>
      <c r="AJ104" s="2">
        <v>124.81</v>
      </c>
      <c r="AK104" s="2">
        <v>42.32</v>
      </c>
      <c r="AL104" s="2">
        <v>160.33000000000001</v>
      </c>
      <c r="AM104" s="2">
        <v>101.69463929469694</v>
      </c>
      <c r="AN104" s="2">
        <v>47.832586424327083</v>
      </c>
    </row>
    <row r="105" spans="2:40" x14ac:dyDescent="0.35">
      <c r="B105" s="15">
        <v>42082</v>
      </c>
      <c r="C105" s="49" t="str">
        <f>$S$4</f>
        <v>AAPL</v>
      </c>
      <c r="D105" s="53">
        <f>CHOOSE($S$3,AJ105,AK105,AL105,AM105,AN105)</f>
        <v>126.4</v>
      </c>
      <c r="E105" s="55">
        <f t="shared" si="7"/>
        <v>-7.5662403833158132E-3</v>
      </c>
      <c r="F105" s="55">
        <f t="shared" si="10"/>
        <v>-7.5662403833158132E-3</v>
      </c>
      <c r="G105" s="70">
        <f t="shared" si="11"/>
        <v>-8.8812302261988899E-3</v>
      </c>
      <c r="H105" s="53"/>
      <c r="I105" s="15">
        <v>42082</v>
      </c>
      <c r="J105" s="55">
        <v>-3.5999999999999999E-3</v>
      </c>
      <c r="K105" s="55">
        <v>8.8000000000000005E-3</v>
      </c>
      <c r="L105" s="55">
        <v>-1.1000000000000001E-2</v>
      </c>
      <c r="M105" s="55">
        <v>0</v>
      </c>
      <c r="N105" s="70">
        <f t="shared" si="12"/>
        <v>-4.1091451292246525E-3</v>
      </c>
      <c r="O105" s="70">
        <f t="shared" si="8"/>
        <v>8.8916500994035783E-3</v>
      </c>
      <c r="P105" s="70">
        <f t="shared" si="9"/>
        <v>-1.0701590457256462E-2</v>
      </c>
      <c r="AI105" s="15">
        <v>42082</v>
      </c>
      <c r="AJ105" s="2">
        <v>126.4</v>
      </c>
      <c r="AK105" s="2">
        <v>41.74</v>
      </c>
      <c r="AL105" s="2">
        <v>157.30000000000001</v>
      </c>
      <c r="AM105" s="2">
        <v>101.38146262085324</v>
      </c>
      <c r="AN105" s="2">
        <v>47.052828550666931</v>
      </c>
    </row>
    <row r="106" spans="2:40" x14ac:dyDescent="0.35">
      <c r="B106" s="15">
        <v>42081</v>
      </c>
      <c r="C106" s="49" t="str">
        <f>$S$4</f>
        <v>AAPL</v>
      </c>
      <c r="D106" s="53">
        <f>CHOOSE($S$3,AJ106,AK106,AL106,AM106,AN106)</f>
        <v>127.36</v>
      </c>
      <c r="E106" s="55">
        <f t="shared" si="7"/>
        <v>1.1212119035476281E-2</v>
      </c>
      <c r="F106" s="55">
        <f t="shared" si="10"/>
        <v>1.1212119035476281E-2</v>
      </c>
      <c r="G106" s="70">
        <f t="shared" si="11"/>
        <v>9.8971291925932046E-3</v>
      </c>
      <c r="H106" s="53"/>
      <c r="I106" s="15">
        <v>42081</v>
      </c>
      <c r="J106" s="55">
        <v>1.0800000000000001E-2</v>
      </c>
      <c r="K106" s="55">
        <v>-5.1000000000000004E-3</v>
      </c>
      <c r="L106" s="55">
        <v>0</v>
      </c>
      <c r="M106" s="55">
        <v>0</v>
      </c>
      <c r="N106" s="70">
        <f t="shared" si="12"/>
        <v>1.0290854870775348E-2</v>
      </c>
      <c r="O106" s="70">
        <f t="shared" si="8"/>
        <v>-5.0083499005964217E-3</v>
      </c>
      <c r="P106" s="70">
        <f t="shared" si="9"/>
        <v>2.9840954274353883E-4</v>
      </c>
      <c r="AI106" s="15">
        <v>42081</v>
      </c>
      <c r="AJ106" s="2">
        <v>127.36</v>
      </c>
      <c r="AK106" s="2">
        <v>41.95</v>
      </c>
      <c r="AL106" s="2">
        <v>157.30000000000001</v>
      </c>
      <c r="AM106" s="2">
        <v>101.76645551688181</v>
      </c>
      <c r="AN106" s="2">
        <v>47.171193356556245</v>
      </c>
    </row>
    <row r="107" spans="2:40" x14ac:dyDescent="0.35">
      <c r="B107" s="15">
        <v>42080</v>
      </c>
      <c r="C107" s="49" t="str">
        <f>$S$4</f>
        <v>AAPL</v>
      </c>
      <c r="D107" s="53">
        <f>CHOOSE($S$3,AJ107,AK107,AL107,AM107,AN107)</f>
        <v>125.94</v>
      </c>
      <c r="E107" s="55">
        <f t="shared" si="7"/>
        <v>1.6572974494488038E-2</v>
      </c>
      <c r="F107" s="55">
        <f t="shared" si="10"/>
        <v>1.6572974494488038E-2</v>
      </c>
      <c r="G107" s="70">
        <f t="shared" si="11"/>
        <v>1.5257984651604961E-2</v>
      </c>
      <c r="H107" s="53"/>
      <c r="I107" s="15">
        <v>42080</v>
      </c>
      <c r="J107" s="55">
        <v>-2E-3</v>
      </c>
      <c r="K107" s="55">
        <v>5.4000000000000003E-3</v>
      </c>
      <c r="L107" s="55">
        <v>-2.0000000000000001E-4</v>
      </c>
      <c r="M107" s="55">
        <v>0</v>
      </c>
      <c r="N107" s="70">
        <f t="shared" si="12"/>
        <v>-2.5091451292246526E-3</v>
      </c>
      <c r="O107" s="70">
        <f t="shared" si="8"/>
        <v>5.4916500994035789E-3</v>
      </c>
      <c r="P107" s="70">
        <f t="shared" si="9"/>
        <v>9.8409542743538818E-5</v>
      </c>
      <c r="AI107" s="15">
        <v>42080</v>
      </c>
      <c r="AJ107" s="2">
        <v>125.94</v>
      </c>
      <c r="AK107" s="2">
        <v>41.16</v>
      </c>
      <c r="AL107" s="2">
        <v>154.5</v>
      </c>
      <c r="AM107" s="2">
        <v>100.29339223400335</v>
      </c>
      <c r="AN107" s="2">
        <v>46.307198131979085</v>
      </c>
    </row>
    <row r="108" spans="2:40" x14ac:dyDescent="0.35">
      <c r="B108" s="15">
        <v>42079</v>
      </c>
      <c r="C108" s="49" t="str">
        <f>$S$4</f>
        <v>AAPL</v>
      </c>
      <c r="D108" s="53">
        <f>CHOOSE($S$3,AJ108,AK108,AL108,AM108,AN108)</f>
        <v>123.87</v>
      </c>
      <c r="E108" s="55">
        <f t="shared" si="7"/>
        <v>1.0958346601534124E-2</v>
      </c>
      <c r="F108" s="55">
        <f t="shared" si="10"/>
        <v>1.0958346601534124E-2</v>
      </c>
      <c r="G108" s="70">
        <f t="shared" si="11"/>
        <v>9.643356758651047E-3</v>
      </c>
      <c r="H108" s="53"/>
      <c r="I108" s="15">
        <v>42079</v>
      </c>
      <c r="J108" s="55">
        <v>1.23E-2</v>
      </c>
      <c r="K108" s="55">
        <v>-7.7000000000000002E-3</v>
      </c>
      <c r="L108" s="55">
        <v>-4.0999999999999995E-3</v>
      </c>
      <c r="M108" s="55">
        <v>0</v>
      </c>
      <c r="N108" s="70">
        <f t="shared" si="12"/>
        <v>1.1790854870775348E-2</v>
      </c>
      <c r="O108" s="70">
        <f t="shared" si="8"/>
        <v>-7.6083499005964216E-3</v>
      </c>
      <c r="P108" s="70">
        <f t="shared" si="9"/>
        <v>-3.8015904572564607E-3</v>
      </c>
      <c r="AI108" s="15">
        <v>42079</v>
      </c>
      <c r="AJ108" s="2">
        <v>123.87</v>
      </c>
      <c r="AK108" s="2">
        <v>41.02</v>
      </c>
      <c r="AL108" s="2">
        <v>154.62</v>
      </c>
      <c r="AM108" s="2">
        <v>99.508110054140545</v>
      </c>
      <c r="AN108" s="2">
        <v>46.24642777157473</v>
      </c>
    </row>
    <row r="109" spans="2:40" x14ac:dyDescent="0.35">
      <c r="B109" s="15">
        <v>42076</v>
      </c>
      <c r="C109" s="49" t="str">
        <f>$S$4</f>
        <v>AAPL</v>
      </c>
      <c r="D109" s="53">
        <f>CHOOSE($S$3,AJ109,AK109,AL109,AM109,AN109)</f>
        <v>122.52</v>
      </c>
      <c r="E109" s="55">
        <f t="shared" si="7"/>
        <v>-6.9136881187987966E-3</v>
      </c>
      <c r="F109" s="55">
        <f t="shared" si="10"/>
        <v>-6.9136881187987966E-3</v>
      </c>
      <c r="G109" s="70">
        <f t="shared" si="11"/>
        <v>-8.2286779616818732E-3</v>
      </c>
      <c r="H109" s="53"/>
      <c r="I109" s="15">
        <v>42076</v>
      </c>
      <c r="J109" s="55">
        <v>-5.6999999999999993E-3</v>
      </c>
      <c r="K109" s="55">
        <v>2.0999999999999999E-3</v>
      </c>
      <c r="L109" s="55">
        <v>-2.9999999999999997E-4</v>
      </c>
      <c r="M109" s="55">
        <v>0</v>
      </c>
      <c r="N109" s="70">
        <f t="shared" si="12"/>
        <v>-6.2091451292246519E-3</v>
      </c>
      <c r="O109" s="70">
        <f t="shared" si="8"/>
        <v>2.1916500994035781E-3</v>
      </c>
      <c r="P109" s="70">
        <f t="shared" si="9"/>
        <v>-1.5904572564611461E-6</v>
      </c>
      <c r="AI109" s="15">
        <v>42076</v>
      </c>
      <c r="AJ109" s="2">
        <v>122.52</v>
      </c>
      <c r="AK109" s="2">
        <v>40.840000000000003</v>
      </c>
      <c r="AL109" s="2">
        <v>151.86000000000001</v>
      </c>
      <c r="AM109" s="2">
        <v>98.077743857696674</v>
      </c>
      <c r="AN109" s="2">
        <v>45.732206415964001</v>
      </c>
    </row>
    <row r="110" spans="2:40" x14ac:dyDescent="0.35">
      <c r="B110" s="15">
        <v>42075</v>
      </c>
      <c r="C110" s="49" t="str">
        <f>$S$4</f>
        <v>AAPL</v>
      </c>
      <c r="D110" s="53">
        <f>CHOOSE($S$3,AJ110,AK110,AL110,AM110,AN110)</f>
        <v>123.37</v>
      </c>
      <c r="E110" s="55">
        <f t="shared" si="7"/>
        <v>1.7910926566530243E-2</v>
      </c>
      <c r="F110" s="55">
        <f t="shared" si="10"/>
        <v>1.7910926566530243E-2</v>
      </c>
      <c r="G110" s="70">
        <f t="shared" si="11"/>
        <v>1.6595936723647165E-2</v>
      </c>
      <c r="H110" s="53"/>
      <c r="I110" s="15">
        <v>42075</v>
      </c>
      <c r="J110" s="55">
        <v>1.2800000000000001E-2</v>
      </c>
      <c r="K110" s="55">
        <v>3.8E-3</v>
      </c>
      <c r="L110" s="55">
        <v>5.0000000000000001E-3</v>
      </c>
      <c r="M110" s="55">
        <v>0</v>
      </c>
      <c r="N110" s="70">
        <f t="shared" si="12"/>
        <v>1.2290854870775348E-2</v>
      </c>
      <c r="O110" s="70">
        <f t="shared" si="8"/>
        <v>3.8916500994035782E-3</v>
      </c>
      <c r="P110" s="70">
        <f t="shared" si="9"/>
        <v>5.2984095427435389E-3</v>
      </c>
      <c r="AI110" s="15">
        <v>42075</v>
      </c>
      <c r="AJ110" s="2">
        <v>123.37</v>
      </c>
      <c r="AK110" s="2">
        <v>40.49</v>
      </c>
      <c r="AL110" s="2">
        <v>155.5</v>
      </c>
      <c r="AM110" s="2">
        <v>99.593392606249623</v>
      </c>
      <c r="AN110" s="2">
        <v>46.084331055198099</v>
      </c>
    </row>
    <row r="111" spans="2:40" x14ac:dyDescent="0.35">
      <c r="B111" s="15">
        <v>42074</v>
      </c>
      <c r="C111" s="49" t="str">
        <f>$S$4</f>
        <v>AAPL</v>
      </c>
      <c r="D111" s="53">
        <f>CHOOSE($S$3,AJ111,AK111,AL111,AM111,AN111)</f>
        <v>121.18</v>
      </c>
      <c r="E111" s="55">
        <f t="shared" si="7"/>
        <v>-1.8397150238994367E-2</v>
      </c>
      <c r="F111" s="55">
        <f t="shared" si="10"/>
        <v>-1.8397150238994367E-2</v>
      </c>
      <c r="G111" s="70">
        <f t="shared" si="11"/>
        <v>-1.9712140081877445E-2</v>
      </c>
      <c r="H111" s="53"/>
      <c r="I111" s="15">
        <v>42074</v>
      </c>
      <c r="J111" s="55">
        <v>-4.0000000000000002E-4</v>
      </c>
      <c r="K111" s="55">
        <v>5.6000000000000008E-3</v>
      </c>
      <c r="L111" s="55">
        <v>5.1999999999999998E-3</v>
      </c>
      <c r="M111" s="55">
        <v>0</v>
      </c>
      <c r="N111" s="70">
        <f t="shared" si="12"/>
        <v>-9.0914512922465255E-4</v>
      </c>
      <c r="O111" s="70">
        <f t="shared" si="8"/>
        <v>5.6916500994035795E-3</v>
      </c>
      <c r="P111" s="70">
        <f t="shared" si="9"/>
        <v>5.4984095427435386E-3</v>
      </c>
      <c r="AI111" s="15">
        <v>42074</v>
      </c>
      <c r="AJ111" s="2">
        <v>121.18</v>
      </c>
      <c r="AK111" s="2">
        <v>41.44</v>
      </c>
      <c r="AL111" s="2">
        <v>154.34</v>
      </c>
      <c r="AM111" s="2">
        <v>98.337953835775593</v>
      </c>
      <c r="AN111" s="2">
        <v>46.453069675142054</v>
      </c>
    </row>
    <row r="112" spans="2:40" x14ac:dyDescent="0.35">
      <c r="B112" s="15">
        <v>42073</v>
      </c>
      <c r="C112" s="49" t="str">
        <f>$S$4</f>
        <v>AAPL</v>
      </c>
      <c r="D112" s="53">
        <f>CHOOSE($S$3,AJ112,AK112,AL112,AM112,AN112)</f>
        <v>123.43</v>
      </c>
      <c r="E112" s="55">
        <f t="shared" si="7"/>
        <v>-2.0925123133236499E-2</v>
      </c>
      <c r="F112" s="55">
        <f t="shared" si="10"/>
        <v>-2.0925123133236499E-2</v>
      </c>
      <c r="G112" s="70">
        <f t="shared" si="11"/>
        <v>-2.2240112976119577E-2</v>
      </c>
      <c r="H112" s="53"/>
      <c r="I112" s="15">
        <v>42073</v>
      </c>
      <c r="J112" s="55">
        <v>-1.6299999999999999E-2</v>
      </c>
      <c r="K112" s="55">
        <v>4.1999999999999997E-3</v>
      </c>
      <c r="L112" s="55">
        <v>-4.6999999999999993E-3</v>
      </c>
      <c r="M112" s="55">
        <v>0</v>
      </c>
      <c r="N112" s="70">
        <f t="shared" si="12"/>
        <v>-1.6809145129224649E-2</v>
      </c>
      <c r="O112" s="70">
        <f t="shared" si="8"/>
        <v>4.2916500994035784E-3</v>
      </c>
      <c r="P112" s="70">
        <f t="shared" si="9"/>
        <v>-4.4015904572564605E-3</v>
      </c>
      <c r="AI112" s="15">
        <v>42073</v>
      </c>
      <c r="AJ112" s="2">
        <v>123.43</v>
      </c>
      <c r="AK112" s="2">
        <v>41.49</v>
      </c>
      <c r="AL112" s="2">
        <v>155.34</v>
      </c>
      <c r="AM112" s="2">
        <v>99.56947062109468</v>
      </c>
      <c r="AN112" s="2">
        <v>46.631583374559021</v>
      </c>
    </row>
    <row r="113" spans="2:40" x14ac:dyDescent="0.35">
      <c r="B113" s="15">
        <v>42072</v>
      </c>
      <c r="C113" s="49" t="str">
        <f>$S$4</f>
        <v>AAPL</v>
      </c>
      <c r="D113" s="53">
        <f>CHOOSE($S$3,AJ113,AK113,AL113,AM113,AN113)</f>
        <v>126.04</v>
      </c>
      <c r="E113" s="55">
        <f t="shared" si="7"/>
        <v>4.2138802167189541E-3</v>
      </c>
      <c r="F113" s="55">
        <f t="shared" si="10"/>
        <v>4.2138802167189541E-3</v>
      </c>
      <c r="G113" s="70">
        <f t="shared" si="11"/>
        <v>2.8988903738358771E-3</v>
      </c>
      <c r="H113" s="53"/>
      <c r="I113" s="15">
        <v>42072</v>
      </c>
      <c r="J113" s="55">
        <v>3.7000000000000002E-3</v>
      </c>
      <c r="K113" s="55">
        <v>8.0000000000000004E-4</v>
      </c>
      <c r="L113" s="55">
        <v>-2.0000000000000001E-4</v>
      </c>
      <c r="M113" s="55">
        <v>0</v>
      </c>
      <c r="N113" s="70">
        <f t="shared" si="12"/>
        <v>3.1908548707753476E-3</v>
      </c>
      <c r="O113" s="70">
        <f t="shared" si="8"/>
        <v>8.9165009940357838E-4</v>
      </c>
      <c r="P113" s="70">
        <f t="shared" si="9"/>
        <v>9.8409542743538818E-5</v>
      </c>
      <c r="AI113" s="15">
        <v>42072</v>
      </c>
      <c r="AJ113" s="2">
        <v>126.04</v>
      </c>
      <c r="AK113" s="2">
        <v>42.29</v>
      </c>
      <c r="AL113" s="2">
        <v>158.25</v>
      </c>
      <c r="AM113" s="2">
        <v>101.55482065605547</v>
      </c>
      <c r="AN113" s="2">
        <v>47.517929843283255</v>
      </c>
    </row>
    <row r="114" spans="2:40" x14ac:dyDescent="0.35">
      <c r="B114" s="15">
        <v>42069</v>
      </c>
      <c r="C114" s="49" t="str">
        <f>$S$4</f>
        <v>AAPL</v>
      </c>
      <c r="D114" s="53">
        <f>CHOOSE($S$3,AJ114,AK114,AL114,AM114,AN114)</f>
        <v>125.51</v>
      </c>
      <c r="E114" s="55">
        <f t="shared" si="7"/>
        <v>1.5149705883638275E-3</v>
      </c>
      <c r="F114" s="55">
        <f t="shared" si="10"/>
        <v>1.5149705883638275E-3</v>
      </c>
      <c r="G114" s="70">
        <f t="shared" si="11"/>
        <v>1.9998074548075047E-4</v>
      </c>
      <c r="H114" s="53"/>
      <c r="I114" s="15">
        <v>42069</v>
      </c>
      <c r="J114" s="55">
        <v>-1.29E-2</v>
      </c>
      <c r="K114" s="55">
        <v>2.7000000000000001E-3</v>
      </c>
      <c r="L114" s="55">
        <v>4.3E-3</v>
      </c>
      <c r="M114" s="55">
        <v>0</v>
      </c>
      <c r="N114" s="70">
        <f t="shared" si="12"/>
        <v>-1.3409145129224653E-2</v>
      </c>
      <c r="O114" s="70">
        <f t="shared" si="8"/>
        <v>2.7916500994035784E-3</v>
      </c>
      <c r="P114" s="70">
        <f t="shared" si="9"/>
        <v>4.5984095427435388E-3</v>
      </c>
      <c r="AI114" s="15">
        <v>42069</v>
      </c>
      <c r="AJ114" s="2">
        <v>125.51</v>
      </c>
      <c r="AK114" s="2">
        <v>41.81</v>
      </c>
      <c r="AL114" s="2">
        <v>156.01</v>
      </c>
      <c r="AM114" s="2">
        <v>100.62255590223548</v>
      </c>
      <c r="AN114" s="2">
        <v>46.911956983967393</v>
      </c>
    </row>
    <row r="115" spans="2:40" x14ac:dyDescent="0.35">
      <c r="B115" s="15">
        <v>42068</v>
      </c>
      <c r="C115" s="49" t="str">
        <f>$S$4</f>
        <v>AAPL</v>
      </c>
      <c r="D115" s="53">
        <f>CHOOSE($S$3,AJ115,AK115,AL115,AM115,AN115)</f>
        <v>125.32</v>
      </c>
      <c r="E115" s="55">
        <f t="shared" si="7"/>
        <v>-1.6696728140196904E-2</v>
      </c>
      <c r="F115" s="55">
        <f t="shared" si="10"/>
        <v>-1.6696728140196904E-2</v>
      </c>
      <c r="G115" s="70">
        <f t="shared" si="11"/>
        <v>-1.8011717983079982E-2</v>
      </c>
      <c r="H115" s="53"/>
      <c r="I115" s="15">
        <v>42068</v>
      </c>
      <c r="J115" s="55">
        <v>1.5E-3</v>
      </c>
      <c r="K115" s="55">
        <v>2.3999999999999998E-3</v>
      </c>
      <c r="L115" s="55">
        <v>-4.3E-3</v>
      </c>
      <c r="M115" s="55">
        <v>0</v>
      </c>
      <c r="N115" s="70">
        <f t="shared" si="12"/>
        <v>9.9085487077534744E-4</v>
      </c>
      <c r="O115" s="70">
        <f t="shared" si="8"/>
        <v>2.491650099403578E-3</v>
      </c>
      <c r="P115" s="70">
        <f t="shared" si="9"/>
        <v>-4.0015904572564612E-3</v>
      </c>
      <c r="AI115" s="15">
        <v>42068</v>
      </c>
      <c r="AJ115" s="2">
        <v>125.32</v>
      </c>
      <c r="AK115" s="2">
        <v>42.55</v>
      </c>
      <c r="AL115" s="2">
        <v>158.65</v>
      </c>
      <c r="AM115" s="2">
        <v>101.39776055439539</v>
      </c>
      <c r="AN115" s="2">
        <v>47.724028930387739</v>
      </c>
    </row>
    <row r="116" spans="2:40" x14ac:dyDescent="0.35">
      <c r="B116" s="15">
        <v>42067</v>
      </c>
      <c r="C116" s="49" t="str">
        <f>$S$4</f>
        <v>AAPL</v>
      </c>
      <c r="D116" s="53">
        <f>CHOOSE($S$3,AJ116,AK116,AL116,AM116,AN116)</f>
        <v>127.43</v>
      </c>
      <c r="E116" s="55">
        <f t="shared" si="7"/>
        <v>-6.3363140771097743E-3</v>
      </c>
      <c r="F116" s="55">
        <f t="shared" si="10"/>
        <v>-6.3363140771097743E-3</v>
      </c>
      <c r="G116" s="70">
        <f t="shared" si="11"/>
        <v>-7.6513039199928509E-3</v>
      </c>
      <c r="H116" s="53"/>
      <c r="I116" s="15">
        <v>42067</v>
      </c>
      <c r="J116" s="55">
        <v>-4.0999999999999995E-3</v>
      </c>
      <c r="K116" s="55">
        <v>8.9999999999999998E-4</v>
      </c>
      <c r="L116" s="55">
        <v>-4.0000000000000001E-3</v>
      </c>
      <c r="M116" s="55">
        <v>0</v>
      </c>
      <c r="N116" s="70">
        <f t="shared" si="12"/>
        <v>-4.6091451292246521E-3</v>
      </c>
      <c r="O116" s="70">
        <f t="shared" si="8"/>
        <v>9.916500994035782E-4</v>
      </c>
      <c r="P116" s="70">
        <f t="shared" si="9"/>
        <v>-3.7015904572564613E-3</v>
      </c>
      <c r="AI116" s="15">
        <v>42067</v>
      </c>
      <c r="AJ116" s="2">
        <v>127.43</v>
      </c>
      <c r="AK116" s="2">
        <v>42.5</v>
      </c>
      <c r="AL116" s="2">
        <v>156.91999999999999</v>
      </c>
      <c r="AM116" s="2">
        <v>101.69852612361713</v>
      </c>
      <c r="AN116" s="2">
        <v>47.435785461970539</v>
      </c>
    </row>
    <row r="117" spans="2:40" x14ac:dyDescent="0.35">
      <c r="B117" s="15">
        <v>42066</v>
      </c>
      <c r="C117" s="49" t="str">
        <f>$S$4</f>
        <v>AAPL</v>
      </c>
      <c r="D117" s="53">
        <f>CHOOSE($S$3,AJ117,AK117,AL117,AM117,AN117)</f>
        <v>128.24</v>
      </c>
      <c r="E117" s="55">
        <f t="shared" si="7"/>
        <v>2.1076468517930054E-3</v>
      </c>
      <c r="F117" s="55">
        <f t="shared" si="10"/>
        <v>2.1076468517930054E-3</v>
      </c>
      <c r="G117" s="70">
        <f t="shared" si="11"/>
        <v>7.9265700890992835E-4</v>
      </c>
      <c r="H117" s="53"/>
      <c r="I117" s="15">
        <v>42066</v>
      </c>
      <c r="J117" s="55">
        <v>-4.3E-3</v>
      </c>
      <c r="K117" s="55">
        <v>-3.0999999999999999E-3</v>
      </c>
      <c r="L117" s="55">
        <v>3.0000000000000001E-3</v>
      </c>
      <c r="M117" s="55">
        <v>0</v>
      </c>
      <c r="N117" s="70">
        <f t="shared" si="12"/>
        <v>-4.8091451292246526E-3</v>
      </c>
      <c r="O117" s="70">
        <f t="shared" si="8"/>
        <v>-3.0083499005964217E-3</v>
      </c>
      <c r="P117" s="70">
        <f t="shared" si="9"/>
        <v>3.2984095427435389E-3</v>
      </c>
      <c r="AI117" s="15">
        <v>42066</v>
      </c>
      <c r="AJ117" s="2">
        <v>128.24</v>
      </c>
      <c r="AK117" s="2">
        <v>42.72</v>
      </c>
      <c r="AL117" s="2">
        <v>158.5</v>
      </c>
      <c r="AM117" s="2">
        <v>102.53373827973206</v>
      </c>
      <c r="AN117" s="2">
        <v>47.797371744512695</v>
      </c>
    </row>
    <row r="118" spans="2:40" x14ac:dyDescent="0.35">
      <c r="B118" s="15">
        <v>42065</v>
      </c>
      <c r="C118" s="49" t="str">
        <f>$S$4</f>
        <v>AAPL</v>
      </c>
      <c r="D118" s="53">
        <f>CHOOSE($S$3,AJ118,AK118,AL118,AM118,AN118)</f>
        <v>127.97</v>
      </c>
      <c r="E118" s="55">
        <f t="shared" si="7"/>
        <v>4.8566600240385997E-3</v>
      </c>
      <c r="F118" s="55">
        <f t="shared" si="10"/>
        <v>4.8566600240385997E-3</v>
      </c>
      <c r="G118" s="70">
        <f t="shared" si="11"/>
        <v>3.5416701811555227E-3</v>
      </c>
      <c r="H118" s="53"/>
      <c r="I118" s="15">
        <v>42065</v>
      </c>
      <c r="J118" s="55">
        <v>6.1999999999999998E-3</v>
      </c>
      <c r="K118" s="55">
        <v>2.3999999999999998E-3</v>
      </c>
      <c r="L118" s="55">
        <v>-4.3E-3</v>
      </c>
      <c r="M118" s="55">
        <v>0</v>
      </c>
      <c r="N118" s="70">
        <f t="shared" si="12"/>
        <v>5.6908548707753472E-3</v>
      </c>
      <c r="O118" s="70">
        <f t="shared" si="8"/>
        <v>2.491650099403578E-3</v>
      </c>
      <c r="P118" s="70">
        <f t="shared" si="9"/>
        <v>-4.0015904572564612E-3</v>
      </c>
      <c r="AI118" s="15">
        <v>42065</v>
      </c>
      <c r="AJ118" s="2">
        <v>127.97</v>
      </c>
      <c r="AK118" s="2">
        <v>43.31</v>
      </c>
      <c r="AL118" s="2">
        <v>157.96</v>
      </c>
      <c r="AM118" s="2">
        <v>102.25113646225907</v>
      </c>
      <c r="AN118" s="2">
        <v>48.046011792938096</v>
      </c>
    </row>
    <row r="119" spans="2:40" x14ac:dyDescent="0.35">
      <c r="B119" s="15">
        <v>42062</v>
      </c>
      <c r="C119" s="49" t="str">
        <f>$S$4</f>
        <v>AAPL</v>
      </c>
      <c r="D119" s="53">
        <f>CHOOSE($S$3,AJ119,AK119,AL119,AM119,AN119)</f>
        <v>127.35</v>
      </c>
      <c r="E119" s="55">
        <f t="shared" si="7"/>
        <v>-1.5118741840995854E-2</v>
      </c>
      <c r="F119" s="55">
        <f t="shared" si="10"/>
        <v>-1.5118741840995854E-2</v>
      </c>
      <c r="G119" s="70">
        <f t="shared" si="11"/>
        <v>-1.6433731683878933E-2</v>
      </c>
      <c r="H119" s="53"/>
      <c r="I119" s="15">
        <v>42062</v>
      </c>
      <c r="J119" s="55">
        <v>-3.5999999999999999E-3</v>
      </c>
      <c r="K119" s="55">
        <v>-2.0999999999999999E-3</v>
      </c>
      <c r="L119" s="55">
        <v>2.2000000000000001E-3</v>
      </c>
      <c r="M119" s="55">
        <v>0</v>
      </c>
      <c r="N119" s="70">
        <f t="shared" si="12"/>
        <v>-4.1091451292246525E-3</v>
      </c>
      <c r="O119" s="70">
        <f t="shared" si="8"/>
        <v>-2.0083499005964216E-3</v>
      </c>
      <c r="P119" s="70">
        <f t="shared" si="9"/>
        <v>2.498409542743539E-3</v>
      </c>
      <c r="AI119" s="15">
        <v>42062</v>
      </c>
      <c r="AJ119" s="2">
        <v>127.35</v>
      </c>
      <c r="AK119" s="2">
        <v>43.28</v>
      </c>
      <c r="AL119" s="2">
        <v>159.4</v>
      </c>
      <c r="AM119" s="2">
        <v>102.46951147598386</v>
      </c>
      <c r="AN119" s="2">
        <v>48.248370815084783</v>
      </c>
    </row>
    <row r="120" spans="2:40" x14ac:dyDescent="0.35">
      <c r="B120" s="15">
        <v>42061</v>
      </c>
      <c r="C120" s="49" t="str">
        <f>$S$4</f>
        <v>AAPL</v>
      </c>
      <c r="D120" s="53">
        <f>CHOOSE($S$3,AJ120,AK120,AL120,AM120,AN120)</f>
        <v>129.29</v>
      </c>
      <c r="E120" s="55">
        <f t="shared" si="7"/>
        <v>1.2530809564963179E-2</v>
      </c>
      <c r="F120" s="55">
        <f t="shared" si="10"/>
        <v>1.2530809564963179E-2</v>
      </c>
      <c r="G120" s="70">
        <f t="shared" si="11"/>
        <v>1.1215819722080102E-2</v>
      </c>
      <c r="H120" s="53"/>
      <c r="I120" s="15">
        <v>42061</v>
      </c>
      <c r="J120" s="55">
        <v>-8.0000000000000004E-4</v>
      </c>
      <c r="K120" s="55">
        <v>6.4000000000000003E-3</v>
      </c>
      <c r="L120" s="55">
        <v>-4.6999999999999993E-3</v>
      </c>
      <c r="M120" s="55">
        <v>0</v>
      </c>
      <c r="N120" s="70">
        <f t="shared" si="12"/>
        <v>-1.3091451292246525E-3</v>
      </c>
      <c r="O120" s="70">
        <f t="shared" si="8"/>
        <v>6.491650099403579E-3</v>
      </c>
      <c r="P120" s="70">
        <f t="shared" si="9"/>
        <v>-4.4015904572564605E-3</v>
      </c>
      <c r="AI120" s="15">
        <v>42061</v>
      </c>
      <c r="AJ120" s="2">
        <v>129.29</v>
      </c>
      <c r="AK120" s="2">
        <v>43.49</v>
      </c>
      <c r="AL120" s="2">
        <v>158.35</v>
      </c>
      <c r="AM120" s="2">
        <v>102.91250798354874</v>
      </c>
      <c r="AN120" s="2">
        <v>48.206513512380752</v>
      </c>
    </row>
    <row r="121" spans="2:40" x14ac:dyDescent="0.35">
      <c r="B121" s="15">
        <v>42060</v>
      </c>
      <c r="C121" s="49" t="str">
        <f>$S$4</f>
        <v>AAPL</v>
      </c>
      <c r="D121" s="53">
        <f>CHOOSE($S$3,AJ121,AK121,AL121,AM121,AN121)</f>
        <v>127.68</v>
      </c>
      <c r="E121" s="55">
        <f t="shared" si="7"/>
        <v>-2.58991709149952E-2</v>
      </c>
      <c r="F121" s="55">
        <f t="shared" si="10"/>
        <v>-2.58991709149952E-2</v>
      </c>
      <c r="G121" s="70">
        <f t="shared" si="11"/>
        <v>-2.7214160757878279E-2</v>
      </c>
      <c r="H121" s="53"/>
      <c r="I121" s="15">
        <v>42060</v>
      </c>
      <c r="J121" s="55">
        <v>2.0000000000000001E-4</v>
      </c>
      <c r="K121" s="55">
        <v>2.2000000000000001E-3</v>
      </c>
      <c r="L121" s="55">
        <v>-5.1000000000000004E-3</v>
      </c>
      <c r="M121" s="55">
        <v>0</v>
      </c>
      <c r="N121" s="70">
        <f t="shared" si="12"/>
        <v>-3.0914512922465261E-4</v>
      </c>
      <c r="O121" s="70">
        <f t="shared" si="8"/>
        <v>2.2916500994035784E-3</v>
      </c>
      <c r="P121" s="70">
        <f t="shared" si="9"/>
        <v>-4.8015904572564615E-3</v>
      </c>
      <c r="AI121" s="15">
        <v>42060</v>
      </c>
      <c r="AJ121" s="2">
        <v>127.68</v>
      </c>
      <c r="AK121" s="2">
        <v>43.42</v>
      </c>
      <c r="AL121" s="2">
        <v>160.26</v>
      </c>
      <c r="AM121" s="2">
        <v>102.8924020873996</v>
      </c>
      <c r="AN121" s="2">
        <v>48.458448532647168</v>
      </c>
    </row>
    <row r="122" spans="2:40" x14ac:dyDescent="0.35">
      <c r="B122" s="15">
        <v>42059</v>
      </c>
      <c r="C122" s="49" t="str">
        <f>$S$4</f>
        <v>AAPL</v>
      </c>
      <c r="D122" s="53">
        <f>CHOOSE($S$3,AJ122,AK122,AL122,AM122,AN122)</f>
        <v>131.03</v>
      </c>
      <c r="E122" s="55">
        <f t="shared" si="7"/>
        <v>-6.2386081828017604E-3</v>
      </c>
      <c r="F122" s="55">
        <f t="shared" si="10"/>
        <v>-6.2386081828017604E-3</v>
      </c>
      <c r="G122" s="70">
        <f t="shared" si="11"/>
        <v>-7.5535980256848378E-3</v>
      </c>
      <c r="H122" s="53"/>
      <c r="I122" s="15">
        <v>42059</v>
      </c>
      <c r="J122" s="55">
        <v>3.2000000000000002E-3</v>
      </c>
      <c r="K122" s="55">
        <v>-5.0000000000000001E-4</v>
      </c>
      <c r="L122" s="55">
        <v>6.8999999999999999E-3</v>
      </c>
      <c r="M122" s="55">
        <v>0</v>
      </c>
      <c r="N122" s="70">
        <f t="shared" si="12"/>
        <v>2.6908548707753476E-3</v>
      </c>
      <c r="O122" s="70">
        <f t="shared" si="8"/>
        <v>-4.0834990059642167E-4</v>
      </c>
      <c r="P122" s="70">
        <f t="shared" si="9"/>
        <v>7.1984095427435387E-3</v>
      </c>
      <c r="AI122" s="15">
        <v>42059</v>
      </c>
      <c r="AJ122" s="2">
        <v>131.03</v>
      </c>
      <c r="AK122" s="2">
        <v>43.52</v>
      </c>
      <c r="AL122" s="2">
        <v>162.25</v>
      </c>
      <c r="AM122" s="2">
        <v>104.88104421198243</v>
      </c>
      <c r="AN122" s="2">
        <v>48.815112599065955</v>
      </c>
    </row>
    <row r="123" spans="2:40" x14ac:dyDescent="0.35">
      <c r="B123" s="15">
        <v>42058</v>
      </c>
      <c r="C123" s="49" t="str">
        <f>$S$4</f>
        <v>AAPL</v>
      </c>
      <c r="D123" s="53">
        <f>CHOOSE($S$3,AJ123,AK123,AL123,AM123,AN123)</f>
        <v>131.85</v>
      </c>
      <c r="E123" s="55">
        <f t="shared" si="7"/>
        <v>2.6670296915663631E-2</v>
      </c>
      <c r="F123" s="55">
        <f t="shared" si="10"/>
        <v>2.6670296915663631E-2</v>
      </c>
      <c r="G123" s="70">
        <f t="shared" si="11"/>
        <v>2.5355307072780553E-2</v>
      </c>
      <c r="H123" s="53"/>
      <c r="I123" s="15">
        <v>42058</v>
      </c>
      <c r="J123" s="55">
        <v>-8.0000000000000004E-4</v>
      </c>
      <c r="K123" s="55">
        <v>4.0000000000000002E-4</v>
      </c>
      <c r="L123" s="55">
        <v>-3.7000000000000002E-3</v>
      </c>
      <c r="M123" s="55">
        <v>0</v>
      </c>
      <c r="N123" s="70">
        <f t="shared" si="12"/>
        <v>-1.3091451292246525E-3</v>
      </c>
      <c r="O123" s="70">
        <f t="shared" si="8"/>
        <v>4.916500994035783E-4</v>
      </c>
      <c r="P123" s="70">
        <f t="shared" si="9"/>
        <v>-3.4015904572564613E-3</v>
      </c>
      <c r="AI123" s="15">
        <v>42058</v>
      </c>
      <c r="AJ123" s="2">
        <v>131.85</v>
      </c>
      <c r="AK123" s="2">
        <v>43.58</v>
      </c>
      <c r="AL123" s="2">
        <v>160.36000000000001</v>
      </c>
      <c r="AM123" s="2">
        <v>104.59835930562257</v>
      </c>
      <c r="AN123" s="2">
        <v>48.564446658504366</v>
      </c>
    </row>
    <row r="124" spans="2:40" x14ac:dyDescent="0.35">
      <c r="B124" s="15">
        <v>42055</v>
      </c>
      <c r="C124" s="49" t="str">
        <f>$S$4</f>
        <v>AAPL</v>
      </c>
      <c r="D124" s="53">
        <f>CHOOSE($S$3,AJ124,AK124,AL124,AM124,AN124)</f>
        <v>128.38</v>
      </c>
      <c r="E124" s="55">
        <f t="shared" si="7"/>
        <v>8.1339412947528163E-3</v>
      </c>
      <c r="F124" s="55">
        <f t="shared" si="10"/>
        <v>8.1339412947528163E-3</v>
      </c>
      <c r="G124" s="70">
        <f t="shared" si="11"/>
        <v>6.8189514518697397E-3</v>
      </c>
      <c r="H124" s="53"/>
      <c r="I124" s="15">
        <v>42055</v>
      </c>
      <c r="J124" s="55">
        <v>6.0999999999999995E-3</v>
      </c>
      <c r="K124" s="55">
        <v>-4.0999999999999995E-3</v>
      </c>
      <c r="L124" s="55">
        <v>-2.5999999999999999E-3</v>
      </c>
      <c r="M124" s="55">
        <v>0</v>
      </c>
      <c r="N124" s="70">
        <f t="shared" si="12"/>
        <v>5.5908548707753469E-3</v>
      </c>
      <c r="O124" s="70">
        <f t="shared" si="8"/>
        <v>-4.0083499005964208E-3</v>
      </c>
      <c r="P124" s="70">
        <f t="shared" si="9"/>
        <v>-2.3015904572564611E-3</v>
      </c>
      <c r="AI124" s="15">
        <v>42055</v>
      </c>
      <c r="AJ124" s="2">
        <v>128.38</v>
      </c>
      <c r="AK124" s="2">
        <v>43.29</v>
      </c>
      <c r="AL124" s="2">
        <v>161.08000000000001</v>
      </c>
      <c r="AM124" s="2">
        <v>103.45677868891279</v>
      </c>
      <c r="AN124" s="2">
        <v>48.51188703562039</v>
      </c>
    </row>
    <row r="125" spans="2:40" x14ac:dyDescent="0.35">
      <c r="B125" s="15">
        <v>42054</v>
      </c>
      <c r="C125" s="49" t="str">
        <f>$S$4</f>
        <v>AAPL</v>
      </c>
      <c r="D125" s="53">
        <f>CHOOSE($S$3,AJ125,AK125,AL125,AM125,AN125)</f>
        <v>127.34</v>
      </c>
      <c r="E125" s="55">
        <f t="shared" si="7"/>
        <v>-2.11806315700568E-3</v>
      </c>
      <c r="F125" s="55">
        <f t="shared" si="10"/>
        <v>-2.11806315700568E-3</v>
      </c>
      <c r="G125" s="70">
        <f t="shared" si="11"/>
        <v>-3.4330529998887571E-3</v>
      </c>
      <c r="H125" s="53"/>
      <c r="I125" s="15">
        <v>42054</v>
      </c>
      <c r="J125" s="55">
        <v>-1E-4</v>
      </c>
      <c r="K125" s="55">
        <v>2.8000000000000004E-3</v>
      </c>
      <c r="L125" s="55">
        <v>-3.4999999999999996E-3</v>
      </c>
      <c r="M125" s="55">
        <v>0</v>
      </c>
      <c r="N125" s="70">
        <f t="shared" si="12"/>
        <v>-6.0914512922465264E-4</v>
      </c>
      <c r="O125" s="70">
        <f t="shared" si="8"/>
        <v>2.8916500994035786E-3</v>
      </c>
      <c r="P125" s="70">
        <f t="shared" si="9"/>
        <v>-3.2015904572564608E-3</v>
      </c>
      <c r="AI125" s="15">
        <v>42054</v>
      </c>
      <c r="AJ125" s="2">
        <v>127.34</v>
      </c>
      <c r="AK125" s="2">
        <v>42.94</v>
      </c>
      <c r="AL125" s="2">
        <v>161.32</v>
      </c>
      <c r="AM125" s="2">
        <v>103.1148019232218</v>
      </c>
      <c r="AN125" s="2">
        <v>48.351917506645393</v>
      </c>
    </row>
    <row r="126" spans="2:40" x14ac:dyDescent="0.35">
      <c r="B126" s="15">
        <v>42053</v>
      </c>
      <c r="C126" s="49" t="str">
        <f>$S$4</f>
        <v>AAPL</v>
      </c>
      <c r="D126" s="53">
        <f>CHOOSE($S$3,AJ126,AK126,AL126,AM126,AN126)</f>
        <v>127.61</v>
      </c>
      <c r="E126" s="55">
        <f t="shared" si="7"/>
        <v>6.9988096797692278E-3</v>
      </c>
      <c r="F126" s="55">
        <f t="shared" si="10"/>
        <v>6.9988096797692278E-3</v>
      </c>
      <c r="G126" s="70">
        <f t="shared" si="11"/>
        <v>5.6838198368861503E-3</v>
      </c>
      <c r="H126" s="53"/>
      <c r="I126" s="15">
        <v>42053</v>
      </c>
      <c r="J126" s="55">
        <v>2.9999999999999997E-4</v>
      </c>
      <c r="K126" s="55">
        <v>2.8000000000000004E-3</v>
      </c>
      <c r="L126" s="55">
        <v>-8.1000000000000013E-3</v>
      </c>
      <c r="M126" s="55">
        <v>0</v>
      </c>
      <c r="N126" s="70">
        <f t="shared" si="12"/>
        <v>-2.0914512922465262E-4</v>
      </c>
      <c r="O126" s="70">
        <f t="shared" si="8"/>
        <v>2.8916500994035786E-3</v>
      </c>
      <c r="P126" s="70">
        <f t="shared" si="9"/>
        <v>-7.8015904572564625E-3</v>
      </c>
      <c r="AI126" s="15">
        <v>42053</v>
      </c>
      <c r="AJ126" s="2">
        <v>127.61</v>
      </c>
      <c r="AK126" s="2">
        <v>42.97</v>
      </c>
      <c r="AL126" s="2">
        <v>159.65</v>
      </c>
      <c r="AM126" s="2">
        <v>102.69039236078507</v>
      </c>
      <c r="AN126" s="2">
        <v>48.118536195859122</v>
      </c>
    </row>
    <row r="127" spans="2:40" x14ac:dyDescent="0.35">
      <c r="B127" s="15">
        <v>42052</v>
      </c>
      <c r="C127" s="49" t="str">
        <f>$S$4</f>
        <v>AAPL</v>
      </c>
      <c r="D127" s="53">
        <f>CHOOSE($S$3,AJ127,AK127,AL127,AM127,AN127)</f>
        <v>126.72</v>
      </c>
      <c r="E127" s="55">
        <f t="shared" si="7"/>
        <v>5.8567638723327478E-3</v>
      </c>
      <c r="F127" s="55">
        <f t="shared" si="10"/>
        <v>5.8567638723327478E-3</v>
      </c>
      <c r="G127" s="70">
        <f t="shared" si="11"/>
        <v>4.5417740294496703E-3</v>
      </c>
      <c r="H127" s="53"/>
      <c r="I127" s="15">
        <v>42052</v>
      </c>
      <c r="J127" s="55">
        <v>1.7000000000000001E-3</v>
      </c>
      <c r="K127" s="55">
        <v>-2.0000000000000001E-4</v>
      </c>
      <c r="L127" s="55">
        <v>0</v>
      </c>
      <c r="M127" s="55">
        <v>0</v>
      </c>
      <c r="N127" s="70">
        <f t="shared" si="12"/>
        <v>1.1908548707753475E-3</v>
      </c>
      <c r="O127" s="70">
        <f t="shared" si="8"/>
        <v>-1.083499005964217E-4</v>
      </c>
      <c r="P127" s="70">
        <f t="shared" si="9"/>
        <v>2.9840954274353883E-4</v>
      </c>
      <c r="AI127" s="15">
        <v>42052</v>
      </c>
      <c r="AJ127" s="2">
        <v>126.72</v>
      </c>
      <c r="AK127" s="2">
        <v>43.01</v>
      </c>
      <c r="AL127" s="2">
        <v>158.44</v>
      </c>
      <c r="AM127" s="2">
        <v>101.94314239542933</v>
      </c>
      <c r="AN127" s="2">
        <v>47.958585436451962</v>
      </c>
    </row>
    <row r="128" spans="2:40" x14ac:dyDescent="0.35">
      <c r="B128" s="15">
        <v>42048</v>
      </c>
      <c r="C128" s="49" t="str">
        <f>$S$4</f>
        <v>AAPL</v>
      </c>
      <c r="D128" s="53">
        <f>CHOOSE($S$3,AJ128,AK128,AL128,AM128,AN128)</f>
        <v>125.98</v>
      </c>
      <c r="E128" s="55">
        <f t="shared" si="7"/>
        <v>4.8537990658492382E-3</v>
      </c>
      <c r="F128" s="55">
        <f t="shared" si="10"/>
        <v>4.8537990658492382E-3</v>
      </c>
      <c r="G128" s="70">
        <f t="shared" si="11"/>
        <v>3.5388092229661611E-3</v>
      </c>
      <c r="H128" s="53"/>
      <c r="I128" s="15">
        <v>42048</v>
      </c>
      <c r="J128" s="55">
        <v>4.6999999999999993E-3</v>
      </c>
      <c r="K128" s="55">
        <v>1.9E-3</v>
      </c>
      <c r="L128" s="55">
        <v>-2.8999999999999998E-3</v>
      </c>
      <c r="M128" s="55">
        <v>0</v>
      </c>
      <c r="N128" s="70">
        <f t="shared" si="12"/>
        <v>4.1908548707753467E-3</v>
      </c>
      <c r="O128" s="70">
        <f t="shared" si="8"/>
        <v>1.9916500994035784E-3</v>
      </c>
      <c r="P128" s="70">
        <f t="shared" si="9"/>
        <v>-2.601590457256461E-3</v>
      </c>
      <c r="AI128" s="15">
        <v>42048</v>
      </c>
      <c r="AJ128" s="2">
        <v>125.98</v>
      </c>
      <c r="AK128" s="2">
        <v>43</v>
      </c>
      <c r="AL128" s="2">
        <v>157.88</v>
      </c>
      <c r="AM128" s="2">
        <v>101.46532940965031</v>
      </c>
      <c r="AN128" s="2">
        <v>47.868256278534496</v>
      </c>
    </row>
    <row r="129" spans="2:40" x14ac:dyDescent="0.35">
      <c r="B129" s="15">
        <v>42047</v>
      </c>
      <c r="C129" s="49" t="str">
        <f>$S$4</f>
        <v>AAPL</v>
      </c>
      <c r="D129" s="53">
        <f>CHOOSE($S$3,AJ129,AK129,AL129,AM129,AN129)</f>
        <v>125.37</v>
      </c>
      <c r="E129" s="55">
        <f t="shared" si="7"/>
        <v>1.2602004877438022E-2</v>
      </c>
      <c r="F129" s="55">
        <f t="shared" si="10"/>
        <v>1.2602004877438022E-2</v>
      </c>
      <c r="G129" s="70">
        <f t="shared" si="11"/>
        <v>1.1287015034554945E-2</v>
      </c>
      <c r="H129" s="53"/>
      <c r="I129" s="15">
        <v>42047</v>
      </c>
      <c r="J129" s="55">
        <v>0.01</v>
      </c>
      <c r="K129" s="55">
        <v>1.8E-3</v>
      </c>
      <c r="L129" s="55">
        <v>-8.9999999999999998E-4</v>
      </c>
      <c r="M129" s="55">
        <v>0</v>
      </c>
      <c r="N129" s="70">
        <f t="shared" si="12"/>
        <v>9.4908548707753476E-3</v>
      </c>
      <c r="O129" s="70">
        <f t="shared" si="8"/>
        <v>1.8916500994035782E-3</v>
      </c>
      <c r="P129" s="70">
        <f t="shared" si="9"/>
        <v>-6.0159045725646115E-4</v>
      </c>
      <c r="AI129" s="15">
        <v>42047</v>
      </c>
      <c r="AJ129" s="2">
        <v>125.37</v>
      </c>
      <c r="AK129" s="2">
        <v>42.23</v>
      </c>
      <c r="AL129" s="2">
        <v>156.03</v>
      </c>
      <c r="AM129" s="2">
        <v>100.62520669243756</v>
      </c>
      <c r="AN129" s="2">
        <v>47.159214025445323</v>
      </c>
    </row>
    <row r="130" spans="2:40" x14ac:dyDescent="0.35">
      <c r="B130" s="15">
        <v>42046</v>
      </c>
      <c r="C130" s="49" t="str">
        <f>$S$4</f>
        <v>AAPL</v>
      </c>
      <c r="D130" s="53">
        <f>CHOOSE($S$3,AJ130,AK130,AL130,AM130,AN130)</f>
        <v>123.8</v>
      </c>
      <c r="E130" s="55">
        <f t="shared" si="7"/>
        <v>2.3207447819272923E-2</v>
      </c>
      <c r="F130" s="55">
        <f t="shared" si="10"/>
        <v>2.3207447819272923E-2</v>
      </c>
      <c r="G130" s="70">
        <f t="shared" si="11"/>
        <v>2.1892457976389845E-2</v>
      </c>
      <c r="H130" s="53"/>
      <c r="I130" s="15">
        <v>42046</v>
      </c>
      <c r="J130" s="55">
        <v>2.9999999999999997E-4</v>
      </c>
      <c r="K130" s="55">
        <v>-1.1000000000000001E-3</v>
      </c>
      <c r="L130" s="55">
        <v>-3.3E-3</v>
      </c>
      <c r="M130" s="55">
        <v>0</v>
      </c>
      <c r="N130" s="70">
        <f t="shared" si="12"/>
        <v>-2.0914512922465262E-4</v>
      </c>
      <c r="O130" s="70">
        <f t="shared" si="8"/>
        <v>-1.0083499005964218E-3</v>
      </c>
      <c r="P130" s="70">
        <f t="shared" si="9"/>
        <v>-3.0015904572564612E-3</v>
      </c>
      <c r="AI130" s="15">
        <v>42046</v>
      </c>
      <c r="AJ130" s="2">
        <v>123.8</v>
      </c>
      <c r="AK130" s="2">
        <v>41.53</v>
      </c>
      <c r="AL130" s="2">
        <v>155.72</v>
      </c>
      <c r="AM130" s="2">
        <v>99.895184425849408</v>
      </c>
      <c r="AN130" s="2">
        <v>46.721513058902566</v>
      </c>
    </row>
    <row r="131" spans="2:40" x14ac:dyDescent="0.35">
      <c r="B131" s="15">
        <v>42045</v>
      </c>
      <c r="C131" s="49" t="str">
        <f>$S$4</f>
        <v>AAPL</v>
      </c>
      <c r="D131" s="53">
        <f>CHOOSE($S$3,AJ131,AK131,AL131,AM131,AN131)</f>
        <v>120.96</v>
      </c>
      <c r="E131" s="55">
        <f t="shared" si="7"/>
        <v>1.9029117008601777E-2</v>
      </c>
      <c r="F131" s="55">
        <f t="shared" si="10"/>
        <v>1.9029117008601777E-2</v>
      </c>
      <c r="G131" s="70">
        <f t="shared" si="11"/>
        <v>1.7714127165718699E-2</v>
      </c>
      <c r="H131" s="53"/>
      <c r="I131" s="15">
        <v>42045</v>
      </c>
      <c r="J131" s="55">
        <v>1.04E-2</v>
      </c>
      <c r="K131" s="55">
        <v>-3.0999999999999999E-3</v>
      </c>
      <c r="L131" s="55">
        <v>-6.8999999999999999E-3</v>
      </c>
      <c r="M131" s="55">
        <v>0</v>
      </c>
      <c r="N131" s="70">
        <f t="shared" si="12"/>
        <v>9.8908548707753469E-3</v>
      </c>
      <c r="O131" s="70">
        <f t="shared" si="8"/>
        <v>-3.0083499005964217E-3</v>
      </c>
      <c r="P131" s="70">
        <f t="shared" si="9"/>
        <v>-6.6015904572564611E-3</v>
      </c>
      <c r="AI131" s="15">
        <v>42045</v>
      </c>
      <c r="AJ131" s="2">
        <v>120.96</v>
      </c>
      <c r="AK131" s="2">
        <v>41.75</v>
      </c>
      <c r="AL131" s="2">
        <v>156.07</v>
      </c>
      <c r="AM131" s="2">
        <v>98.861638767799249</v>
      </c>
      <c r="AN131" s="2">
        <v>46.89776995130503</v>
      </c>
    </row>
    <row r="132" spans="2:40" x14ac:dyDescent="0.35">
      <c r="B132" s="15">
        <v>42044</v>
      </c>
      <c r="C132" s="49" t="str">
        <f>$S$4</f>
        <v>AAPL</v>
      </c>
      <c r="D132" s="53">
        <f>CHOOSE($S$3,AJ132,AK132,AL132,AM132,AN132)</f>
        <v>118.68</v>
      </c>
      <c r="E132" s="55">
        <f t="shared" si="7"/>
        <v>6.5939878792958175E-3</v>
      </c>
      <c r="F132" s="55">
        <f t="shared" si="10"/>
        <v>6.5939878792958175E-3</v>
      </c>
      <c r="G132" s="70">
        <f t="shared" si="11"/>
        <v>5.2789980364127409E-3</v>
      </c>
      <c r="H132" s="53"/>
      <c r="I132" s="15">
        <v>42044</v>
      </c>
      <c r="J132" s="55">
        <v>-4.5999999999999999E-3</v>
      </c>
      <c r="K132" s="55">
        <v>-3.9000000000000003E-3</v>
      </c>
      <c r="L132" s="55">
        <v>8.9999999999999998E-4</v>
      </c>
      <c r="M132" s="55">
        <v>0</v>
      </c>
      <c r="N132" s="70">
        <f t="shared" si="12"/>
        <v>-5.1091451292246525E-3</v>
      </c>
      <c r="O132" s="70">
        <f t="shared" si="8"/>
        <v>-3.808349900596422E-3</v>
      </c>
      <c r="P132" s="70">
        <f t="shared" si="9"/>
        <v>1.1984095427435388E-3</v>
      </c>
      <c r="AI132" s="15">
        <v>42044</v>
      </c>
      <c r="AJ132" s="2">
        <v>118.68</v>
      </c>
      <c r="AK132" s="2">
        <v>41.52</v>
      </c>
      <c r="AL132" s="2">
        <v>153.31</v>
      </c>
      <c r="AM132" s="2">
        <v>97.055754035347988</v>
      </c>
      <c r="AN132" s="2">
        <v>46.353911651007735</v>
      </c>
    </row>
    <row r="133" spans="2:40" x14ac:dyDescent="0.35">
      <c r="B133" s="15">
        <v>42041</v>
      </c>
      <c r="C133" s="49" t="str">
        <f>$S$4</f>
        <v>AAPL</v>
      </c>
      <c r="D133" s="53">
        <f>CHOOSE($S$3,AJ133,AK133,AL133,AM133,AN133)</f>
        <v>117.9</v>
      </c>
      <c r="E133" s="55">
        <f t="shared" si="7"/>
        <v>-8.4459961534108698E-3</v>
      </c>
      <c r="F133" s="55">
        <f t="shared" si="10"/>
        <v>-8.4459961534108698E-3</v>
      </c>
      <c r="G133" s="70">
        <f t="shared" si="11"/>
        <v>-9.7609859962939464E-3</v>
      </c>
      <c r="H133" s="53"/>
      <c r="I133" s="15">
        <v>42041</v>
      </c>
      <c r="J133" s="55">
        <v>-2E-3</v>
      </c>
      <c r="K133" s="55">
        <v>7.000000000000001E-4</v>
      </c>
      <c r="L133" s="55">
        <v>3.8E-3</v>
      </c>
      <c r="M133" s="55">
        <v>0</v>
      </c>
      <c r="N133" s="70">
        <f t="shared" si="12"/>
        <v>-2.5091451292246526E-3</v>
      </c>
      <c r="O133" s="70">
        <f t="shared" si="8"/>
        <v>7.9165009940357844E-4</v>
      </c>
      <c r="P133" s="70">
        <f t="shared" si="9"/>
        <v>4.0984095427435384E-3</v>
      </c>
      <c r="AI133" s="15">
        <v>42041</v>
      </c>
      <c r="AJ133" s="2">
        <v>117.9</v>
      </c>
      <c r="AK133" s="2">
        <v>41.56</v>
      </c>
      <c r="AL133" s="2">
        <v>154.26</v>
      </c>
      <c r="AM133" s="2">
        <v>97.037522106435659</v>
      </c>
      <c r="AN133" s="2">
        <v>46.519858336518283</v>
      </c>
    </row>
    <row r="134" spans="2:40" x14ac:dyDescent="0.35">
      <c r="B134" s="15">
        <v>42040</v>
      </c>
      <c r="C134" s="49" t="str">
        <f>$S$4</f>
        <v>AAPL</v>
      </c>
      <c r="D134" s="53">
        <f>CHOOSE($S$3,AJ134,AK134,AL134,AM134,AN134)</f>
        <v>118.9</v>
      </c>
      <c r="E134" s="55">
        <f t="shared" si="7"/>
        <v>7.0898338841928399E-3</v>
      </c>
      <c r="F134" s="55">
        <f t="shared" si="10"/>
        <v>7.0898338841928399E-3</v>
      </c>
      <c r="G134" s="70">
        <f t="shared" si="11"/>
        <v>5.7748440413097624E-3</v>
      </c>
      <c r="H134" s="53"/>
      <c r="I134" s="15">
        <v>42040</v>
      </c>
      <c r="J134" s="55">
        <v>1.1000000000000001E-2</v>
      </c>
      <c r="K134" s="55">
        <v>4.7999999999999996E-3</v>
      </c>
      <c r="L134" s="55">
        <v>-1.6000000000000001E-3</v>
      </c>
      <c r="M134" s="55">
        <v>0</v>
      </c>
      <c r="N134" s="70">
        <f t="shared" si="12"/>
        <v>1.0490854870775349E-2</v>
      </c>
      <c r="O134" s="70">
        <f t="shared" si="8"/>
        <v>4.8916500994035782E-3</v>
      </c>
      <c r="P134" s="70">
        <f t="shared" si="9"/>
        <v>-1.3015904572564612E-3</v>
      </c>
      <c r="AI134" s="15">
        <v>42040</v>
      </c>
      <c r="AJ134" s="2">
        <v>118.9</v>
      </c>
      <c r="AK134" s="2">
        <v>41.6</v>
      </c>
      <c r="AL134" s="2">
        <v>154.35</v>
      </c>
      <c r="AM134" s="2">
        <v>97.477354125805121</v>
      </c>
      <c r="AN134" s="2">
        <v>46.555815732609922</v>
      </c>
    </row>
    <row r="135" spans="2:40" x14ac:dyDescent="0.35">
      <c r="B135" s="15">
        <v>42039</v>
      </c>
      <c r="C135" s="49" t="str">
        <f>$S$4</f>
        <v>AAPL</v>
      </c>
      <c r="D135" s="53">
        <f>CHOOSE($S$3,AJ135,AK135,AL135,AM135,AN135)</f>
        <v>118.06</v>
      </c>
      <c r="E135" s="55">
        <f t="shared" si="7"/>
        <v>7.6524478530106384E-3</v>
      </c>
      <c r="F135" s="55">
        <f t="shared" si="10"/>
        <v>7.6524478530106384E-3</v>
      </c>
      <c r="G135" s="70">
        <f t="shared" si="11"/>
        <v>6.3374580101275609E-3</v>
      </c>
      <c r="H135" s="53"/>
      <c r="I135" s="15">
        <v>42039</v>
      </c>
      <c r="J135" s="55">
        <v>-3.4999999999999996E-3</v>
      </c>
      <c r="K135" s="55">
        <v>-7.000000000000001E-4</v>
      </c>
      <c r="L135" s="55">
        <v>-2E-3</v>
      </c>
      <c r="M135" s="55">
        <v>0</v>
      </c>
      <c r="N135" s="70">
        <f t="shared" si="12"/>
        <v>-4.0091451292246522E-3</v>
      </c>
      <c r="O135" s="70">
        <f t="shared" si="8"/>
        <v>-6.0834990059642176E-4</v>
      </c>
      <c r="P135" s="70">
        <f t="shared" si="9"/>
        <v>-1.7015904572564612E-3</v>
      </c>
      <c r="AI135" s="15">
        <v>42039</v>
      </c>
      <c r="AJ135" s="2">
        <v>118.06</v>
      </c>
      <c r="AK135" s="2">
        <v>41.01</v>
      </c>
      <c r="AL135" s="2">
        <v>153.41999999999999</v>
      </c>
      <c r="AM135" s="2">
        <v>96.83936350017774</v>
      </c>
      <c r="AN135" s="2">
        <v>46.085416711865591</v>
      </c>
    </row>
    <row r="136" spans="2:40" x14ac:dyDescent="0.35">
      <c r="B136" s="15">
        <v>42038</v>
      </c>
      <c r="C136" s="49" t="str">
        <f>$S$4</f>
        <v>AAPL</v>
      </c>
      <c r="D136" s="53">
        <f>CHOOSE($S$3,AJ136,AK136,AL136,AM136,AN136)</f>
        <v>117.16</v>
      </c>
      <c r="E136" s="55">
        <f t="shared" si="7"/>
        <v>1.7072129789642864E-4</v>
      </c>
      <c r="F136" s="55">
        <f t="shared" si="10"/>
        <v>1.7072129789642864E-4</v>
      </c>
      <c r="G136" s="70">
        <f t="shared" si="11"/>
        <v>-1.1442685449866484E-3</v>
      </c>
      <c r="H136" s="53"/>
      <c r="I136" s="15">
        <v>42038</v>
      </c>
      <c r="J136" s="55">
        <v>1.49E-2</v>
      </c>
      <c r="K136" s="55">
        <v>1.8E-3</v>
      </c>
      <c r="L136" s="55">
        <v>5.1000000000000004E-3</v>
      </c>
      <c r="M136" s="55">
        <v>0</v>
      </c>
      <c r="N136" s="70">
        <f t="shared" si="12"/>
        <v>1.4390854870775347E-2</v>
      </c>
      <c r="O136" s="70">
        <f t="shared" si="8"/>
        <v>1.8916500994035782E-3</v>
      </c>
      <c r="P136" s="70">
        <f t="shared" si="9"/>
        <v>5.3984095427435392E-3</v>
      </c>
      <c r="AI136" s="15">
        <v>42038</v>
      </c>
      <c r="AJ136" s="2">
        <v>117.16</v>
      </c>
      <c r="AK136" s="2">
        <v>40.770000000000003</v>
      </c>
      <c r="AL136" s="2">
        <v>154.9</v>
      </c>
      <c r="AM136" s="2">
        <v>96.937339709347967</v>
      </c>
      <c r="AN136" s="2">
        <v>46.172852044175556</v>
      </c>
    </row>
    <row r="137" spans="2:40" x14ac:dyDescent="0.35">
      <c r="B137" s="15">
        <v>42037</v>
      </c>
      <c r="C137" s="49" t="str">
        <f>$S$4</f>
        <v>AAPL</v>
      </c>
      <c r="D137" s="53">
        <f>CHOOSE($S$3,AJ137,AK137,AL137,AM137,AN137)</f>
        <v>117.14</v>
      </c>
      <c r="E137" s="55">
        <f t="shared" si="7"/>
        <v>1.2455600620838803E-2</v>
      </c>
      <c r="F137" s="55">
        <f t="shared" si="10"/>
        <v>1.2455600620838803E-2</v>
      </c>
      <c r="G137" s="70">
        <f t="shared" si="11"/>
        <v>1.1140610777955726E-2</v>
      </c>
      <c r="H137" s="53"/>
      <c r="I137" s="15">
        <v>42037</v>
      </c>
      <c r="J137" s="55">
        <v>1.2500000000000001E-2</v>
      </c>
      <c r="K137" s="55">
        <v>-4.5999999999999999E-3</v>
      </c>
      <c r="L137" s="55">
        <v>9.8999999999999991E-3</v>
      </c>
      <c r="M137" s="55">
        <v>0</v>
      </c>
      <c r="N137" s="70">
        <f t="shared" si="12"/>
        <v>1.1990854870775348E-2</v>
      </c>
      <c r="O137" s="70">
        <f t="shared" si="8"/>
        <v>-4.5083499005964213E-3</v>
      </c>
      <c r="P137" s="70">
        <f t="shared" si="9"/>
        <v>1.0198409542743538E-2</v>
      </c>
      <c r="AI137" s="15">
        <v>42037</v>
      </c>
      <c r="AJ137" s="2">
        <v>117.14</v>
      </c>
      <c r="AK137" s="2">
        <v>40.46</v>
      </c>
      <c r="AL137" s="2">
        <v>151.16999999999999</v>
      </c>
      <c r="AM137" s="2">
        <v>95.761937708086705</v>
      </c>
      <c r="AN137" s="2">
        <v>45.441389068967958</v>
      </c>
    </row>
    <row r="138" spans="2:40" x14ac:dyDescent="0.35">
      <c r="B138" s="15">
        <v>42034</v>
      </c>
      <c r="C138" s="49" t="str">
        <f>$S$4</f>
        <v>AAPL</v>
      </c>
      <c r="D138" s="53">
        <f>CHOOSE($S$3,AJ138,AK138,AL138,AM138,AN138)</f>
        <v>115.69</v>
      </c>
      <c r="E138" s="55">
        <f t="shared" si="7"/>
        <v>-1.4757882601322932E-2</v>
      </c>
      <c r="F138" s="55">
        <f t="shared" si="10"/>
        <v>-1.4757882601322932E-2</v>
      </c>
      <c r="G138" s="70">
        <f t="shared" si="11"/>
        <v>-1.6072872444206011E-2</v>
      </c>
      <c r="H138" s="53"/>
      <c r="I138" s="15">
        <v>42034</v>
      </c>
      <c r="J138" s="55">
        <v>-1.3000000000000001E-2</v>
      </c>
      <c r="K138" s="55">
        <v>-7.7000000000000002E-3</v>
      </c>
      <c r="L138" s="55">
        <v>2.9999999999999997E-4</v>
      </c>
      <c r="M138" s="55">
        <v>0</v>
      </c>
      <c r="N138" s="70">
        <f t="shared" si="12"/>
        <v>-1.3509145129224654E-2</v>
      </c>
      <c r="O138" s="70">
        <f t="shared" si="8"/>
        <v>-7.6083499005964216E-3</v>
      </c>
      <c r="P138" s="70">
        <f t="shared" si="9"/>
        <v>5.9840954274353875E-4</v>
      </c>
      <c r="AI138" s="15">
        <v>42034</v>
      </c>
      <c r="AJ138" s="2">
        <v>115.69</v>
      </c>
      <c r="AK138" s="2">
        <v>39.590000000000003</v>
      </c>
      <c r="AL138" s="2">
        <v>149.85</v>
      </c>
      <c r="AM138" s="2">
        <v>94.751158871268515</v>
      </c>
      <c r="AN138" s="2">
        <v>44.754437731179138</v>
      </c>
    </row>
    <row r="139" spans="2:40" x14ac:dyDescent="0.35">
      <c r="B139" s="15">
        <v>42033</v>
      </c>
      <c r="C139" s="49" t="str">
        <f>$S$4</f>
        <v>AAPL</v>
      </c>
      <c r="D139" s="53">
        <f>CHOOSE($S$3,AJ139,AK139,AL139,AM139,AN139)</f>
        <v>117.41</v>
      </c>
      <c r="E139" s="55">
        <f t="shared" si="7"/>
        <v>3.0702459119184646E-2</v>
      </c>
      <c r="F139" s="55">
        <f t="shared" si="10"/>
        <v>3.0702459119184646E-2</v>
      </c>
      <c r="G139" s="70">
        <f t="shared" si="11"/>
        <v>2.9387469276301568E-2</v>
      </c>
      <c r="H139" s="53"/>
      <c r="I139" s="15">
        <v>42033</v>
      </c>
      <c r="J139" s="55">
        <v>9.7999999999999997E-3</v>
      </c>
      <c r="K139" s="55">
        <v>2.3999999999999998E-3</v>
      </c>
      <c r="L139" s="55">
        <v>0</v>
      </c>
      <c r="M139" s="55">
        <v>0</v>
      </c>
      <c r="N139" s="70">
        <f t="shared" si="12"/>
        <v>9.2908548707753471E-3</v>
      </c>
      <c r="O139" s="70">
        <f t="shared" si="8"/>
        <v>2.491650099403578E-3</v>
      </c>
      <c r="P139" s="70">
        <f t="shared" si="9"/>
        <v>2.9840954274353883E-4</v>
      </c>
      <c r="AI139" s="15">
        <v>42033</v>
      </c>
      <c r="AJ139" s="2">
        <v>117.41</v>
      </c>
      <c r="AK139" s="2">
        <v>41.17</v>
      </c>
      <c r="AL139" s="2">
        <v>151.97999999999999</v>
      </c>
      <c r="AM139" s="2">
        <v>96.128913302840388</v>
      </c>
      <c r="AN139" s="2">
        <v>45.965566261812405</v>
      </c>
    </row>
    <row r="140" spans="2:40" x14ac:dyDescent="0.35">
      <c r="B140" s="15">
        <v>42032</v>
      </c>
      <c r="C140" s="49" t="str">
        <f>$S$4</f>
        <v>AAPL</v>
      </c>
      <c r="D140" s="53">
        <f>CHOOSE($S$3,AJ140,AK140,AL140,AM140,AN140)</f>
        <v>113.86</v>
      </c>
      <c r="E140" s="55">
        <f t="shared" ref="E140:E203" si="13">LN(D140/D141)</f>
        <v>5.497029691419561E-2</v>
      </c>
      <c r="F140" s="55">
        <f t="shared" si="10"/>
        <v>5.497029691419561E-2</v>
      </c>
      <c r="G140" s="70">
        <f t="shared" si="11"/>
        <v>5.3655307071312532E-2</v>
      </c>
      <c r="H140" s="53"/>
      <c r="I140" s="15">
        <v>42032</v>
      </c>
      <c r="J140" s="55">
        <v>-1.3899999999999999E-2</v>
      </c>
      <c r="K140" s="55">
        <v>-8.0000000000000004E-4</v>
      </c>
      <c r="L140" s="55">
        <v>-7.7000000000000002E-3</v>
      </c>
      <c r="M140" s="55">
        <v>0</v>
      </c>
      <c r="N140" s="70">
        <f t="shared" si="12"/>
        <v>-1.4409145129224652E-2</v>
      </c>
      <c r="O140" s="70">
        <f t="shared" ref="O140:O203" si="14">K140-K$10</f>
        <v>-7.083499005964217E-4</v>
      </c>
      <c r="P140" s="70">
        <f t="shared" ref="P140:P203" si="15">L140-L$10</f>
        <v>-7.4015904572564614E-3</v>
      </c>
      <c r="AI140" s="15">
        <v>42032</v>
      </c>
      <c r="AJ140" s="2">
        <v>113.86</v>
      </c>
      <c r="AK140" s="2">
        <v>40.369999999999997</v>
      </c>
      <c r="AL140" s="2">
        <v>148.13</v>
      </c>
      <c r="AM140" s="2">
        <v>93.458057676620413</v>
      </c>
      <c r="AN140" s="2">
        <v>44.936767128858079</v>
      </c>
    </row>
    <row r="141" spans="2:40" x14ac:dyDescent="0.35">
      <c r="B141" s="15">
        <v>42031</v>
      </c>
      <c r="C141" s="49" t="str">
        <f>$S$4</f>
        <v>AAPL</v>
      </c>
      <c r="D141" s="53">
        <f>CHOOSE($S$3,AJ141,AK141,AL141,AM141,AN141)</f>
        <v>107.77</v>
      </c>
      <c r="E141" s="55">
        <f t="shared" si="13"/>
        <v>-3.5638312405322121E-2</v>
      </c>
      <c r="F141" s="55">
        <f t="shared" ref="F141:F204" si="16">E141-M141</f>
        <v>-3.5638312405322121E-2</v>
      </c>
      <c r="G141" s="70">
        <f t="shared" ref="G141:G204" si="17">F141-$F$10</f>
        <v>-3.69533022482052E-2</v>
      </c>
      <c r="H141" s="53"/>
      <c r="I141" s="15">
        <v>42031</v>
      </c>
      <c r="J141" s="55">
        <v>-1.21E-2</v>
      </c>
      <c r="K141" s="55">
        <v>6.7000000000000002E-3</v>
      </c>
      <c r="L141" s="55">
        <v>2.3E-3</v>
      </c>
      <c r="M141" s="55">
        <v>0</v>
      </c>
      <c r="N141" s="70">
        <f t="shared" ref="N141:N204" si="18">J141-J$10</f>
        <v>-1.2609145129224652E-2</v>
      </c>
      <c r="O141" s="70">
        <f t="shared" si="14"/>
        <v>6.7916500994035789E-3</v>
      </c>
      <c r="P141" s="70">
        <f t="shared" si="15"/>
        <v>2.5984095427435388E-3</v>
      </c>
      <c r="AI141" s="15">
        <v>42031</v>
      </c>
      <c r="AJ141" s="2">
        <v>107.77</v>
      </c>
      <c r="AK141" s="2">
        <v>41.81</v>
      </c>
      <c r="AL141" s="2">
        <v>150.21</v>
      </c>
      <c r="AM141" s="2">
        <v>91.614830293498471</v>
      </c>
      <c r="AN141" s="2">
        <v>46.05371029273207</v>
      </c>
    </row>
    <row r="142" spans="2:40" x14ac:dyDescent="0.35">
      <c r="B142" s="15">
        <v>42030</v>
      </c>
      <c r="C142" s="49" t="str">
        <f>$S$4</f>
        <v>AAPL</v>
      </c>
      <c r="D142" s="53">
        <f>CHOOSE($S$3,AJ142,AK142,AL142,AM142,AN142)</f>
        <v>111.68</v>
      </c>
      <c r="E142" s="55">
        <f t="shared" si="13"/>
        <v>1.075076254774108E-3</v>
      </c>
      <c r="F142" s="55">
        <f t="shared" si="16"/>
        <v>1.075076254774108E-3</v>
      </c>
      <c r="G142" s="70">
        <f t="shared" si="17"/>
        <v>-2.3991358810896909E-4</v>
      </c>
      <c r="H142" s="53"/>
      <c r="I142" s="15">
        <v>42030</v>
      </c>
      <c r="J142" s="55">
        <v>4.1999999999999997E-3</v>
      </c>
      <c r="K142" s="55">
        <v>5.6000000000000008E-3</v>
      </c>
      <c r="L142" s="55">
        <v>-5.0000000000000001E-4</v>
      </c>
      <c r="M142" s="55">
        <v>0</v>
      </c>
      <c r="N142" s="70">
        <f t="shared" si="18"/>
        <v>3.6908548707753472E-3</v>
      </c>
      <c r="O142" s="70">
        <f t="shared" si="14"/>
        <v>5.6916500994035795E-3</v>
      </c>
      <c r="P142" s="70">
        <f t="shared" si="15"/>
        <v>-2.0159045725646118E-4</v>
      </c>
      <c r="AI142" s="15">
        <v>42030</v>
      </c>
      <c r="AJ142" s="2">
        <v>111.68</v>
      </c>
      <c r="AK142" s="2">
        <v>46.07</v>
      </c>
      <c r="AL142" s="2">
        <v>152.84</v>
      </c>
      <c r="AM142" s="2">
        <v>94.078801521568352</v>
      </c>
      <c r="AN142" s="2">
        <v>48.803078137502681</v>
      </c>
    </row>
    <row r="143" spans="2:40" x14ac:dyDescent="0.35">
      <c r="B143" s="15">
        <v>42027</v>
      </c>
      <c r="C143" s="49" t="str">
        <f>$S$4</f>
        <v>AAPL</v>
      </c>
      <c r="D143" s="53">
        <f>CHOOSE($S$3,AJ143,AK143,AL143,AM143,AN143)</f>
        <v>111.56</v>
      </c>
      <c r="E143" s="55">
        <f t="shared" si="13"/>
        <v>5.1224555954002089E-3</v>
      </c>
      <c r="F143" s="55">
        <f t="shared" si="16"/>
        <v>5.1224555954002089E-3</v>
      </c>
      <c r="G143" s="70">
        <f t="shared" si="17"/>
        <v>3.8074657525171318E-3</v>
      </c>
      <c r="H143" s="53"/>
      <c r="I143" s="15">
        <v>42027</v>
      </c>
      <c r="J143" s="55">
        <v>-4.6999999999999993E-3</v>
      </c>
      <c r="K143" s="55">
        <v>5.1999999999999998E-3</v>
      </c>
      <c r="L143" s="55">
        <v>-8.199999999999999E-3</v>
      </c>
      <c r="M143" s="55">
        <v>0</v>
      </c>
      <c r="N143" s="70">
        <f t="shared" si="18"/>
        <v>-5.2091451292246519E-3</v>
      </c>
      <c r="O143" s="70">
        <f t="shared" si="14"/>
        <v>5.2916500994035784E-3</v>
      </c>
      <c r="P143" s="70">
        <f t="shared" si="15"/>
        <v>-7.9015904572564601E-3</v>
      </c>
      <c r="AI143" s="15">
        <v>42027</v>
      </c>
      <c r="AJ143" s="2">
        <v>111.56</v>
      </c>
      <c r="AK143" s="2">
        <v>46.24</v>
      </c>
      <c r="AL143" s="2">
        <v>152.36000000000001</v>
      </c>
      <c r="AM143" s="2">
        <v>93.880528674295235</v>
      </c>
      <c r="AN143" s="2">
        <v>48.816486728914995</v>
      </c>
    </row>
    <row r="144" spans="2:40" x14ac:dyDescent="0.35">
      <c r="B144" s="15">
        <v>42026</v>
      </c>
      <c r="C144" s="49" t="str">
        <f>$S$4</f>
        <v>AAPL</v>
      </c>
      <c r="D144" s="53">
        <f>CHOOSE($S$3,AJ144,AK144,AL144,AM144,AN144)</f>
        <v>110.99</v>
      </c>
      <c r="E144" s="55">
        <f t="shared" si="13"/>
        <v>2.5643600720607135E-2</v>
      </c>
      <c r="F144" s="55">
        <f t="shared" si="16"/>
        <v>2.5643600720607135E-2</v>
      </c>
      <c r="G144" s="70">
        <f t="shared" si="17"/>
        <v>2.4328610877724057E-2</v>
      </c>
      <c r="H144" s="53"/>
      <c r="I144" s="15">
        <v>42026</v>
      </c>
      <c r="J144" s="55">
        <v>1.5800000000000002E-2</v>
      </c>
      <c r="K144" s="55">
        <v>4.5999999999999999E-3</v>
      </c>
      <c r="L144" s="55">
        <v>4.0999999999999995E-3</v>
      </c>
      <c r="M144" s="55">
        <v>0</v>
      </c>
      <c r="N144" s="70">
        <f t="shared" si="18"/>
        <v>1.5290854870775349E-2</v>
      </c>
      <c r="O144" s="70">
        <f t="shared" si="14"/>
        <v>4.6916500994035786E-3</v>
      </c>
      <c r="P144" s="70">
        <f t="shared" si="15"/>
        <v>4.3984095427435383E-3</v>
      </c>
      <c r="AI144" s="15">
        <v>42026</v>
      </c>
      <c r="AJ144" s="2">
        <v>110.99</v>
      </c>
      <c r="AK144" s="2">
        <v>46.19</v>
      </c>
      <c r="AL144" s="2">
        <v>151.88999999999999</v>
      </c>
      <c r="AM144" s="2">
        <v>93.495892762135298</v>
      </c>
      <c r="AN144" s="2">
        <v>48.714799203572426</v>
      </c>
    </row>
    <row r="145" spans="2:40" x14ac:dyDescent="0.35">
      <c r="B145" s="15">
        <v>42025</v>
      </c>
      <c r="C145" s="49" t="str">
        <f>$S$4</f>
        <v>AAPL</v>
      </c>
      <c r="D145" s="53">
        <f>CHOOSE($S$3,AJ145,AK145,AL145,AM145,AN145)</f>
        <v>108.18</v>
      </c>
      <c r="E145" s="55">
        <f t="shared" si="13"/>
        <v>7.6088332199092468E-3</v>
      </c>
      <c r="F145" s="55">
        <f t="shared" si="16"/>
        <v>7.6088332199092468E-3</v>
      </c>
      <c r="G145" s="70">
        <f t="shared" si="17"/>
        <v>6.2938433770261693E-3</v>
      </c>
      <c r="H145" s="53"/>
      <c r="I145" s="15">
        <v>42025</v>
      </c>
      <c r="J145" s="55">
        <v>4.1999999999999997E-3</v>
      </c>
      <c r="K145" s="55">
        <v>-9.4999999999999998E-3</v>
      </c>
      <c r="L145" s="55">
        <v>5.5000000000000005E-3</v>
      </c>
      <c r="M145" s="55">
        <v>0</v>
      </c>
      <c r="N145" s="70">
        <f t="shared" si="18"/>
        <v>3.6908548707753472E-3</v>
      </c>
      <c r="O145" s="70">
        <f t="shared" si="14"/>
        <v>-9.408349900596422E-3</v>
      </c>
      <c r="P145" s="70">
        <f t="shared" si="15"/>
        <v>5.7984095427435394E-3</v>
      </c>
      <c r="AI145" s="15">
        <v>42025</v>
      </c>
      <c r="AJ145" s="2">
        <v>108.18</v>
      </c>
      <c r="AK145" s="2">
        <v>45</v>
      </c>
      <c r="AL145" s="2">
        <v>148.66</v>
      </c>
      <c r="AM145" s="2">
        <v>91.31823384873752</v>
      </c>
      <c r="AN145" s="2">
        <v>47.569306222547326</v>
      </c>
    </row>
    <row r="146" spans="2:40" x14ac:dyDescent="0.35">
      <c r="B146" s="15">
        <v>42024</v>
      </c>
      <c r="C146" s="49" t="str">
        <f>$S$4</f>
        <v>AAPL</v>
      </c>
      <c r="D146" s="53">
        <f>CHOOSE($S$3,AJ146,AK146,AL146,AM146,AN146)</f>
        <v>107.36</v>
      </c>
      <c r="E146" s="55">
        <f t="shared" si="13"/>
        <v>2.5470672279309853E-2</v>
      </c>
      <c r="F146" s="55">
        <f t="shared" si="16"/>
        <v>2.5470672279309853E-2</v>
      </c>
      <c r="G146" s="70">
        <f t="shared" si="17"/>
        <v>2.4155682436426774E-2</v>
      </c>
      <c r="H146" s="53"/>
      <c r="I146" s="15">
        <v>42024</v>
      </c>
      <c r="J146" s="55">
        <v>1.1000000000000001E-3</v>
      </c>
      <c r="K146" s="55">
        <v>-6.7000000000000002E-3</v>
      </c>
      <c r="L146" s="55">
        <v>-5.5000000000000005E-3</v>
      </c>
      <c r="M146" s="55">
        <v>0</v>
      </c>
      <c r="N146" s="70">
        <f t="shared" si="18"/>
        <v>5.9085487077534748E-4</v>
      </c>
      <c r="O146" s="70">
        <f t="shared" si="14"/>
        <v>-6.6083499005964216E-3</v>
      </c>
      <c r="P146" s="70">
        <f t="shared" si="15"/>
        <v>-5.2015904572564617E-3</v>
      </c>
      <c r="AI146" s="15">
        <v>42024</v>
      </c>
      <c r="AJ146" s="2">
        <v>107.36</v>
      </c>
      <c r="AK146" s="2">
        <v>45.46</v>
      </c>
      <c r="AL146" s="2">
        <v>153.41</v>
      </c>
      <c r="AM146" s="2">
        <v>92.431044519431254</v>
      </c>
      <c r="AN146" s="2">
        <v>48.572407977040776</v>
      </c>
    </row>
    <row r="147" spans="2:40" x14ac:dyDescent="0.35">
      <c r="B147" s="15">
        <v>42020</v>
      </c>
      <c r="C147" s="49" t="str">
        <f>$S$4</f>
        <v>AAPL</v>
      </c>
      <c r="D147" s="53">
        <f>CHOOSE($S$3,AJ147,AK147,AL147,AM147,AN147)</f>
        <v>104.66</v>
      </c>
      <c r="E147" s="55">
        <f t="shared" si="13"/>
        <v>-7.8043605410242755E-3</v>
      </c>
      <c r="F147" s="55">
        <f t="shared" si="16"/>
        <v>-7.8043605410242755E-3</v>
      </c>
      <c r="G147" s="70">
        <f t="shared" si="17"/>
        <v>-9.1193503839073521E-3</v>
      </c>
      <c r="H147" s="53"/>
      <c r="I147" s="15">
        <v>42020</v>
      </c>
      <c r="J147" s="55">
        <v>1.3600000000000001E-2</v>
      </c>
      <c r="K147" s="55">
        <v>4.6999999999999993E-3</v>
      </c>
      <c r="L147" s="55">
        <v>-1.4000000000000002E-3</v>
      </c>
      <c r="M147" s="55">
        <v>0</v>
      </c>
      <c r="N147" s="70">
        <f t="shared" si="18"/>
        <v>1.3090854870775348E-2</v>
      </c>
      <c r="O147" s="70">
        <f t="shared" si="14"/>
        <v>4.791650099403578E-3</v>
      </c>
      <c r="P147" s="70">
        <f t="shared" si="15"/>
        <v>-1.1015904572564614E-3</v>
      </c>
      <c r="AI147" s="15">
        <v>42020</v>
      </c>
      <c r="AJ147" s="2">
        <v>104.66</v>
      </c>
      <c r="AK147" s="2">
        <v>45.32</v>
      </c>
      <c r="AL147" s="2">
        <v>153.6</v>
      </c>
      <c r="AM147" s="2">
        <v>91.326007344705133</v>
      </c>
      <c r="AN147" s="2">
        <v>48.527694179000065</v>
      </c>
    </row>
    <row r="148" spans="2:40" x14ac:dyDescent="0.35">
      <c r="B148" s="15">
        <v>42019</v>
      </c>
      <c r="C148" s="49" t="str">
        <f>$S$4</f>
        <v>AAPL</v>
      </c>
      <c r="D148" s="53">
        <f>CHOOSE($S$3,AJ148,AK148,AL148,AM148,AN148)</f>
        <v>105.48</v>
      </c>
      <c r="E148" s="55">
        <f t="shared" si="13"/>
        <v>-2.7491212347106171E-2</v>
      </c>
      <c r="F148" s="55">
        <f t="shared" si="16"/>
        <v>-2.7491212347106171E-2</v>
      </c>
      <c r="G148" s="70">
        <f t="shared" si="17"/>
        <v>-2.880620218998925E-2</v>
      </c>
      <c r="H148" s="53"/>
      <c r="I148" s="15">
        <v>42019</v>
      </c>
      <c r="J148" s="55">
        <v>-1.0800000000000001E-2</v>
      </c>
      <c r="K148" s="55">
        <v>-9.4999999999999998E-3</v>
      </c>
      <c r="L148" s="55">
        <v>6.3E-3</v>
      </c>
      <c r="M148" s="55">
        <v>0</v>
      </c>
      <c r="N148" s="70">
        <f t="shared" si="18"/>
        <v>-1.1309145129224653E-2</v>
      </c>
      <c r="O148" s="70">
        <f t="shared" si="14"/>
        <v>-9.408349900596422E-3</v>
      </c>
      <c r="P148" s="70">
        <f t="shared" si="15"/>
        <v>6.5984095427435389E-3</v>
      </c>
      <c r="AI148" s="15">
        <v>42019</v>
      </c>
      <c r="AJ148" s="2">
        <v>105.48</v>
      </c>
      <c r="AK148" s="2">
        <v>44.57</v>
      </c>
      <c r="AL148" s="2">
        <v>151.09</v>
      </c>
      <c r="AM148" s="2">
        <v>90.937586333366454</v>
      </c>
      <c r="AN148" s="2">
        <v>47.729653073813495</v>
      </c>
    </row>
    <row r="149" spans="2:40" x14ac:dyDescent="0.35">
      <c r="B149" s="15">
        <v>42018</v>
      </c>
      <c r="C149" s="49" t="str">
        <f>$S$4</f>
        <v>AAPL</v>
      </c>
      <c r="D149" s="53">
        <f>CHOOSE($S$3,AJ149,AK149,AL149,AM149,AN149)</f>
        <v>108.42</v>
      </c>
      <c r="E149" s="55">
        <f t="shared" si="13"/>
        <v>-3.8663400828534617E-3</v>
      </c>
      <c r="F149" s="55">
        <f t="shared" si="16"/>
        <v>-3.8663400828534617E-3</v>
      </c>
      <c r="G149" s="70">
        <f t="shared" si="17"/>
        <v>-5.1813299257365388E-3</v>
      </c>
      <c r="H149" s="53"/>
      <c r="I149" s="15">
        <v>42018</v>
      </c>
      <c r="J149" s="55">
        <v>-6.0000000000000001E-3</v>
      </c>
      <c r="K149" s="55">
        <v>2.8999999999999998E-3</v>
      </c>
      <c r="L149" s="55">
        <v>-4.8999999999999998E-3</v>
      </c>
      <c r="M149" s="55">
        <v>0</v>
      </c>
      <c r="N149" s="70">
        <f t="shared" si="18"/>
        <v>-6.5091451292246527E-3</v>
      </c>
      <c r="O149" s="70">
        <f t="shared" si="14"/>
        <v>2.991650099403578E-3</v>
      </c>
      <c r="P149" s="70">
        <f t="shared" si="15"/>
        <v>-4.601590457256461E-3</v>
      </c>
      <c r="AI149" s="15">
        <v>42018</v>
      </c>
      <c r="AJ149" s="2">
        <v>108.42</v>
      </c>
      <c r="AK149" s="2">
        <v>45.04</v>
      </c>
      <c r="AL149" s="2">
        <v>152.29</v>
      </c>
      <c r="AM149" s="2">
        <v>92.566045183065427</v>
      </c>
      <c r="AN149" s="2">
        <v>48.1708539550661</v>
      </c>
    </row>
    <row r="150" spans="2:40" x14ac:dyDescent="0.35">
      <c r="B150" s="15">
        <v>42017</v>
      </c>
      <c r="C150" s="49" t="str">
        <f>$S$4</f>
        <v>AAPL</v>
      </c>
      <c r="D150" s="53">
        <f>CHOOSE($S$3,AJ150,AK150,AL150,AM150,AN150)</f>
        <v>108.84</v>
      </c>
      <c r="E150" s="55">
        <f t="shared" si="13"/>
        <v>8.859415643516496E-3</v>
      </c>
      <c r="F150" s="55">
        <f t="shared" si="16"/>
        <v>8.859415643516496E-3</v>
      </c>
      <c r="G150" s="70">
        <f t="shared" si="17"/>
        <v>7.5444258006334194E-3</v>
      </c>
      <c r="H150" s="53"/>
      <c r="I150" s="15">
        <v>42017</v>
      </c>
      <c r="J150" s="55">
        <v>-1.9E-3</v>
      </c>
      <c r="K150" s="55">
        <v>2.8000000000000004E-3</v>
      </c>
      <c r="L150" s="55">
        <v>2.9999999999999997E-4</v>
      </c>
      <c r="M150" s="55">
        <v>0</v>
      </c>
      <c r="N150" s="70">
        <f t="shared" si="18"/>
        <v>-2.4091451292246524E-3</v>
      </c>
      <c r="O150" s="70">
        <f t="shared" si="14"/>
        <v>2.8916500994035786E-3</v>
      </c>
      <c r="P150" s="70">
        <f t="shared" si="15"/>
        <v>5.9840954274353875E-4</v>
      </c>
      <c r="AI150" s="15">
        <v>42017</v>
      </c>
      <c r="AJ150" s="2">
        <v>108.84</v>
      </c>
      <c r="AK150" s="2">
        <v>45.44</v>
      </c>
      <c r="AL150" s="2">
        <v>153.28</v>
      </c>
      <c r="AM150" s="2">
        <v>93.046212064517078</v>
      </c>
      <c r="AN150" s="2">
        <v>48.54132996689254</v>
      </c>
    </row>
    <row r="151" spans="2:40" x14ac:dyDescent="0.35">
      <c r="B151" s="15">
        <v>42016</v>
      </c>
      <c r="C151" s="49" t="str">
        <f>$S$4</f>
        <v>AAPL</v>
      </c>
      <c r="D151" s="53">
        <f>CHOOSE($S$3,AJ151,AK151,AL151,AM151,AN151)</f>
        <v>107.88</v>
      </c>
      <c r="E151" s="55">
        <f t="shared" si="13"/>
        <v>-2.4900590816705148E-2</v>
      </c>
      <c r="F151" s="55">
        <f t="shared" si="16"/>
        <v>-2.4900590816705148E-2</v>
      </c>
      <c r="G151" s="70">
        <f t="shared" si="17"/>
        <v>-2.6215580659588227E-2</v>
      </c>
      <c r="H151" s="53"/>
      <c r="I151" s="15">
        <v>42016</v>
      </c>
      <c r="J151" s="55">
        <v>-7.9000000000000008E-3</v>
      </c>
      <c r="K151" s="55">
        <v>3.7000000000000002E-3</v>
      </c>
      <c r="L151" s="55">
        <v>-3.7000000000000002E-3</v>
      </c>
      <c r="M151" s="55">
        <v>0</v>
      </c>
      <c r="N151" s="70">
        <f t="shared" si="18"/>
        <v>-8.4091451292246534E-3</v>
      </c>
      <c r="O151" s="70">
        <f t="shared" si="14"/>
        <v>3.7916500994035784E-3</v>
      </c>
      <c r="P151" s="70">
        <f t="shared" si="15"/>
        <v>-3.4015904572564613E-3</v>
      </c>
      <c r="AI151" s="15">
        <v>42016</v>
      </c>
      <c r="AJ151" s="2">
        <v>107.88</v>
      </c>
      <c r="AK151" s="2">
        <v>45.67</v>
      </c>
      <c r="AL151" s="2">
        <v>152.91</v>
      </c>
      <c r="AM151" s="2">
        <v>92.523563594095918</v>
      </c>
      <c r="AN151" s="2">
        <v>48.605592295568222</v>
      </c>
    </row>
    <row r="152" spans="2:40" x14ac:dyDescent="0.35">
      <c r="B152" s="15">
        <v>42013</v>
      </c>
      <c r="C152" s="49" t="str">
        <f>$S$4</f>
        <v>AAPL</v>
      </c>
      <c r="D152" s="53">
        <f>CHOOSE($S$3,AJ152,AK152,AL152,AM152,AN152)</f>
        <v>110.6</v>
      </c>
      <c r="E152" s="55">
        <f t="shared" si="13"/>
        <v>9.9506996315084262E-4</v>
      </c>
      <c r="F152" s="55">
        <f t="shared" si="16"/>
        <v>9.9506996315084262E-4</v>
      </c>
      <c r="G152" s="70">
        <f t="shared" si="17"/>
        <v>-3.1991987973223443E-4</v>
      </c>
      <c r="H152" s="53"/>
      <c r="I152" s="15">
        <v>42013</v>
      </c>
      <c r="J152" s="55">
        <v>-8.5000000000000006E-3</v>
      </c>
      <c r="K152" s="55">
        <v>2.0000000000000001E-4</v>
      </c>
      <c r="L152" s="55">
        <v>-5.0000000000000001E-3</v>
      </c>
      <c r="M152" s="55">
        <v>0</v>
      </c>
      <c r="N152" s="70">
        <f t="shared" si="18"/>
        <v>-9.0091451292246532E-3</v>
      </c>
      <c r="O152" s="70">
        <f t="shared" si="14"/>
        <v>2.9165009940357832E-4</v>
      </c>
      <c r="P152" s="70">
        <f t="shared" si="15"/>
        <v>-4.7015904572564613E-3</v>
      </c>
      <c r="AI152" s="15">
        <v>42013</v>
      </c>
      <c r="AJ152" s="2">
        <v>110.6</v>
      </c>
      <c r="AK152" s="2">
        <v>46.25</v>
      </c>
      <c r="AL152" s="2">
        <v>155.52000000000001</v>
      </c>
      <c r="AM152" s="2">
        <v>94.47960720767415</v>
      </c>
      <c r="AN152" s="2">
        <v>49.329054140574222</v>
      </c>
    </row>
    <row r="153" spans="2:40" x14ac:dyDescent="0.35">
      <c r="B153" s="15">
        <v>42012</v>
      </c>
      <c r="C153" s="49" t="str">
        <f>$S$4</f>
        <v>AAPL</v>
      </c>
      <c r="D153" s="53">
        <f>CHOOSE($S$3,AJ153,AK153,AL153,AM153,AN153)</f>
        <v>110.49</v>
      </c>
      <c r="E153" s="55">
        <f t="shared" si="13"/>
        <v>3.7719442217539575E-2</v>
      </c>
      <c r="F153" s="55">
        <f t="shared" si="16"/>
        <v>3.7719442217539575E-2</v>
      </c>
      <c r="G153" s="70">
        <f t="shared" si="17"/>
        <v>3.6404452374656497E-2</v>
      </c>
      <c r="H153" s="53"/>
      <c r="I153" s="15">
        <v>42012</v>
      </c>
      <c r="J153" s="55">
        <v>1.8100000000000002E-2</v>
      </c>
      <c r="K153" s="55">
        <v>-1.1999999999999999E-3</v>
      </c>
      <c r="L153" s="55">
        <v>-2.7000000000000001E-3</v>
      </c>
      <c r="M153" s="55">
        <v>0</v>
      </c>
      <c r="N153" s="70">
        <f t="shared" si="18"/>
        <v>1.7590854870775351E-2</v>
      </c>
      <c r="O153" s="70">
        <f t="shared" si="14"/>
        <v>-1.1083499005964217E-3</v>
      </c>
      <c r="P153" s="70">
        <f t="shared" si="15"/>
        <v>-2.4015904572564613E-3</v>
      </c>
      <c r="AI153" s="15">
        <v>42012</v>
      </c>
      <c r="AJ153" s="2">
        <v>110.49</v>
      </c>
      <c r="AK153" s="2">
        <v>46.64</v>
      </c>
      <c r="AL153" s="2">
        <v>154.85</v>
      </c>
      <c r="AM153" s="2">
        <v>94.229108577466903</v>
      </c>
      <c r="AN153" s="2">
        <v>49.430778169450072</v>
      </c>
    </row>
    <row r="154" spans="2:40" x14ac:dyDescent="0.35">
      <c r="B154" s="15">
        <v>42011</v>
      </c>
      <c r="C154" s="49" t="str">
        <f>$S$4</f>
        <v>AAPL</v>
      </c>
      <c r="D154" s="53">
        <f>CHOOSE($S$3,AJ154,AK154,AL154,AM154,AN154)</f>
        <v>106.4</v>
      </c>
      <c r="E154" s="55">
        <f t="shared" si="13"/>
        <v>1.391211573772441E-2</v>
      </c>
      <c r="F154" s="55">
        <f t="shared" si="16"/>
        <v>1.391211573772441E-2</v>
      </c>
      <c r="G154" s="70">
        <f t="shared" si="17"/>
        <v>1.2597125894841334E-2</v>
      </c>
      <c r="H154" s="53"/>
      <c r="I154" s="15">
        <v>42011</v>
      </c>
      <c r="J154" s="55">
        <v>1.1899999999999999E-2</v>
      </c>
      <c r="K154" s="55">
        <v>1.7000000000000001E-3</v>
      </c>
      <c r="L154" s="55">
        <v>-6.5000000000000006E-3</v>
      </c>
      <c r="M154" s="55">
        <v>0</v>
      </c>
      <c r="N154" s="70">
        <f t="shared" si="18"/>
        <v>1.1390854870775347E-2</v>
      </c>
      <c r="O154" s="70">
        <f t="shared" si="14"/>
        <v>1.7916500994035784E-3</v>
      </c>
      <c r="P154" s="70">
        <f t="shared" si="15"/>
        <v>-6.2015904572564617E-3</v>
      </c>
      <c r="AI154" s="15">
        <v>42011</v>
      </c>
      <c r="AJ154" s="2">
        <v>106.4</v>
      </c>
      <c r="AK154" s="2">
        <v>45.31</v>
      </c>
      <c r="AL154" s="2">
        <v>151.56</v>
      </c>
      <c r="AM154" s="2">
        <v>91.484059540621644</v>
      </c>
      <c r="AN154" s="2">
        <v>48.200874604411936</v>
      </c>
    </row>
    <row r="155" spans="2:40" x14ac:dyDescent="0.35">
      <c r="B155" s="15">
        <v>42010</v>
      </c>
      <c r="C155" s="49" t="str">
        <f>$S$4</f>
        <v>AAPL</v>
      </c>
      <c r="D155" s="53">
        <f>CHOOSE($S$3,AJ155,AK155,AL155,AM155,AN155)</f>
        <v>104.93</v>
      </c>
      <c r="E155" s="55">
        <f t="shared" si="13"/>
        <v>9.5306171146820103E-5</v>
      </c>
      <c r="F155" s="55">
        <f t="shared" si="16"/>
        <v>9.5306171146820103E-5</v>
      </c>
      <c r="G155" s="70">
        <f t="shared" si="17"/>
        <v>-1.2196836717362569E-3</v>
      </c>
      <c r="H155" s="53"/>
      <c r="I155" s="15">
        <v>42010</v>
      </c>
      <c r="J155" s="55">
        <v>-1.04E-2</v>
      </c>
      <c r="K155" s="55">
        <v>-7.8000000000000005E-3</v>
      </c>
      <c r="L155" s="55">
        <v>-2.7000000000000001E-3</v>
      </c>
      <c r="M155" s="55">
        <v>0</v>
      </c>
      <c r="N155" s="70">
        <f t="shared" si="18"/>
        <v>-1.0909145129224652E-2</v>
      </c>
      <c r="O155" s="70">
        <f t="shared" si="14"/>
        <v>-7.7083499005964218E-3</v>
      </c>
      <c r="P155" s="70">
        <f t="shared" si="15"/>
        <v>-2.4015904572564613E-3</v>
      </c>
      <c r="AI155" s="15">
        <v>42010</v>
      </c>
      <c r="AJ155" s="2">
        <v>104.93</v>
      </c>
      <c r="AK155" s="2">
        <v>44.74</v>
      </c>
      <c r="AL155" s="2">
        <v>152.55000000000001</v>
      </c>
      <c r="AM155" s="2">
        <v>91.150887267900956</v>
      </c>
      <c r="AN155" s="2">
        <v>48.055116656107423</v>
      </c>
    </row>
    <row r="156" spans="2:40" x14ac:dyDescent="0.35">
      <c r="B156" s="15">
        <v>42009</v>
      </c>
      <c r="C156" s="49" t="str">
        <f>$S$4</f>
        <v>AAPL</v>
      </c>
      <c r="D156" s="53">
        <f>CHOOSE($S$3,AJ156,AK156,AL156,AM156,AN156)</f>
        <v>104.92</v>
      </c>
      <c r="E156" s="55">
        <f t="shared" si="13"/>
        <v>-2.8562633151130931E-2</v>
      </c>
      <c r="F156" s="55">
        <f t="shared" si="16"/>
        <v>-2.8562633151130931E-2</v>
      </c>
      <c r="G156" s="70">
        <f t="shared" si="17"/>
        <v>-2.987762299401401E-2</v>
      </c>
      <c r="H156" s="53"/>
      <c r="I156" s="15">
        <v>42009</v>
      </c>
      <c r="J156" s="55">
        <v>-1.84E-2</v>
      </c>
      <c r="K156" s="55">
        <v>3.3E-3</v>
      </c>
      <c r="L156" s="55">
        <v>-6.3E-3</v>
      </c>
      <c r="M156" s="55">
        <v>0</v>
      </c>
      <c r="N156" s="70">
        <f t="shared" si="18"/>
        <v>-1.8909145129224654E-2</v>
      </c>
      <c r="O156" s="70">
        <f t="shared" si="14"/>
        <v>3.3916500994035782E-3</v>
      </c>
      <c r="P156" s="70">
        <f t="shared" si="15"/>
        <v>-6.0015904572564612E-3</v>
      </c>
      <c r="AI156" s="15">
        <v>42009</v>
      </c>
      <c r="AJ156" s="2">
        <v>104.92</v>
      </c>
      <c r="AK156" s="2">
        <v>45.41</v>
      </c>
      <c r="AL156" s="2">
        <v>155.91</v>
      </c>
      <c r="AM156" s="2">
        <v>92.150368767715051</v>
      </c>
      <c r="AN156" s="2">
        <v>48.944159834548842</v>
      </c>
    </row>
    <row r="157" spans="2:40" x14ac:dyDescent="0.35">
      <c r="B157" s="15">
        <v>42006</v>
      </c>
      <c r="C157" s="49" t="str">
        <f>$S$4</f>
        <v>AAPL</v>
      </c>
      <c r="D157" s="53">
        <f>CHOOSE($S$3,AJ157,AK157,AL157,AM157,AN157)</f>
        <v>107.96</v>
      </c>
      <c r="E157" s="55">
        <f t="shared" si="13"/>
        <v>-9.5870940793398186E-3</v>
      </c>
      <c r="F157" s="55">
        <f t="shared" si="16"/>
        <v>-9.5870940793398186E-3</v>
      </c>
      <c r="G157" s="70">
        <f t="shared" si="17"/>
        <v>-1.0902083922222895E-2</v>
      </c>
      <c r="H157" s="53"/>
      <c r="I157" s="15">
        <v>42006</v>
      </c>
      <c r="J157" s="55">
        <v>-1.1000000000000001E-3</v>
      </c>
      <c r="K157" s="55">
        <v>-5.8999999999999999E-3</v>
      </c>
      <c r="L157" s="55">
        <v>8.9999999999999998E-4</v>
      </c>
      <c r="M157" s="55">
        <v>0</v>
      </c>
      <c r="N157" s="70">
        <f t="shared" si="18"/>
        <v>-1.6091451292246527E-3</v>
      </c>
      <c r="O157" s="70">
        <f t="shared" si="14"/>
        <v>-5.8083499005964212E-3</v>
      </c>
      <c r="P157" s="70">
        <f t="shared" si="15"/>
        <v>1.1984095427435388E-3</v>
      </c>
      <c r="AI157" s="15">
        <v>42006</v>
      </c>
      <c r="AJ157" s="2">
        <v>107.96</v>
      </c>
      <c r="AK157" s="2">
        <v>45.83</v>
      </c>
      <c r="AL157" s="2">
        <v>158.41</v>
      </c>
      <c r="AM157" s="2">
        <v>94.224182805934589</v>
      </c>
      <c r="AN157" s="2">
        <v>49.5629108265924</v>
      </c>
    </row>
    <row r="158" spans="2:40" x14ac:dyDescent="0.35">
      <c r="B158" s="15">
        <v>42004</v>
      </c>
      <c r="C158" s="49" t="str">
        <f>$S$4</f>
        <v>AAPL</v>
      </c>
      <c r="D158" s="53">
        <f>CHOOSE($S$3,AJ158,AK158,AL158,AM158,AN158)</f>
        <v>109</v>
      </c>
      <c r="E158" s="55">
        <f t="shared" si="13"/>
        <v>-1.9172819366773664E-2</v>
      </c>
      <c r="F158" s="55">
        <f t="shared" si="16"/>
        <v>-1.9172819366773664E-2</v>
      </c>
      <c r="G158" s="70">
        <f t="shared" si="17"/>
        <v>-2.0487809209656743E-2</v>
      </c>
      <c r="H158" s="53"/>
      <c r="I158" s="15">
        <v>42004</v>
      </c>
      <c r="J158" s="55">
        <v>-9.300000000000001E-3</v>
      </c>
      <c r="K158" s="55">
        <v>5.0000000000000001E-3</v>
      </c>
      <c r="L158" s="55">
        <v>-3.9000000000000003E-3</v>
      </c>
      <c r="M158" s="55">
        <v>0</v>
      </c>
      <c r="N158" s="70">
        <f t="shared" si="18"/>
        <v>-9.8091451292246536E-3</v>
      </c>
      <c r="O158" s="70">
        <f t="shared" si="14"/>
        <v>5.0916500994035788E-3</v>
      </c>
      <c r="P158" s="70">
        <f t="shared" si="15"/>
        <v>-3.6015904572564614E-3</v>
      </c>
      <c r="AI158" s="15">
        <v>42004</v>
      </c>
      <c r="AJ158" s="2">
        <v>109</v>
      </c>
      <c r="AK158" s="2">
        <v>45.52</v>
      </c>
      <c r="AL158" s="2">
        <v>156.82</v>
      </c>
      <c r="AM158" s="2">
        <v>94.205147276452749</v>
      </c>
      <c r="AN158" s="2">
        <v>49.146548340211986</v>
      </c>
    </row>
    <row r="159" spans="2:40" x14ac:dyDescent="0.35">
      <c r="B159" s="15">
        <v>42003</v>
      </c>
      <c r="C159" s="49" t="str">
        <f>$S$4</f>
        <v>AAPL</v>
      </c>
      <c r="D159" s="53">
        <f>CHOOSE($S$3,AJ159,AK159,AL159,AM159,AN159)</f>
        <v>111.11</v>
      </c>
      <c r="E159" s="55">
        <f t="shared" si="13"/>
        <v>-1.22547264664375E-2</v>
      </c>
      <c r="F159" s="55">
        <f t="shared" si="16"/>
        <v>-1.22547264664375E-2</v>
      </c>
      <c r="G159" s="70">
        <f t="shared" si="17"/>
        <v>-1.3569716309320577E-2</v>
      </c>
      <c r="H159" s="53"/>
      <c r="I159" s="15">
        <v>42003</v>
      </c>
      <c r="J159" s="55">
        <v>-4.7999999999999996E-3</v>
      </c>
      <c r="K159" s="55">
        <v>5.9999999999999995E-4</v>
      </c>
      <c r="L159" s="55">
        <v>3.4999999999999996E-3</v>
      </c>
      <c r="M159" s="55">
        <v>0</v>
      </c>
      <c r="N159" s="70">
        <f t="shared" si="18"/>
        <v>-5.3091451292246522E-3</v>
      </c>
      <c r="O159" s="70">
        <f t="shared" si="14"/>
        <v>6.9165009940357828E-4</v>
      </c>
      <c r="P159" s="70">
        <f t="shared" si="15"/>
        <v>3.7984095427435385E-3</v>
      </c>
      <c r="AI159" s="15">
        <v>42003</v>
      </c>
      <c r="AJ159" s="2">
        <v>111.11</v>
      </c>
      <c r="AK159" s="2">
        <v>46.08</v>
      </c>
      <c r="AL159" s="2">
        <v>156.44</v>
      </c>
      <c r="AM159" s="2">
        <v>95.002812303005257</v>
      </c>
      <c r="AN159" s="2">
        <v>49.389310772625088</v>
      </c>
    </row>
    <row r="160" spans="2:40" x14ac:dyDescent="0.35">
      <c r="B160" s="15">
        <v>42002</v>
      </c>
      <c r="C160" s="49" t="str">
        <f>$S$4</f>
        <v>AAPL</v>
      </c>
      <c r="D160" s="53">
        <f>CHOOSE($S$3,AJ160,AK160,AL160,AM160,AN160)</f>
        <v>112.48</v>
      </c>
      <c r="E160" s="55">
        <f t="shared" si="13"/>
        <v>-7.1098474377882326E-4</v>
      </c>
      <c r="F160" s="55">
        <f t="shared" si="16"/>
        <v>-7.1098474377882326E-4</v>
      </c>
      <c r="G160" s="70">
        <f t="shared" si="17"/>
        <v>-2.0259745866619003E-3</v>
      </c>
      <c r="H160" s="53"/>
      <c r="I160" s="15">
        <v>42002</v>
      </c>
      <c r="J160" s="55">
        <v>1.2999999999999999E-3</v>
      </c>
      <c r="K160" s="55">
        <v>1.6000000000000001E-3</v>
      </c>
      <c r="L160" s="55">
        <v>5.6999999999999993E-3</v>
      </c>
      <c r="M160" s="55">
        <v>0</v>
      </c>
      <c r="N160" s="70">
        <f t="shared" si="18"/>
        <v>7.9085487077534735E-4</v>
      </c>
      <c r="O160" s="70">
        <f t="shared" si="14"/>
        <v>1.6916500994035783E-3</v>
      </c>
      <c r="P160" s="70">
        <f t="shared" si="15"/>
        <v>5.9984095427435382E-3</v>
      </c>
      <c r="AI160" s="15">
        <v>42002</v>
      </c>
      <c r="AJ160" s="2">
        <v>112.48</v>
      </c>
      <c r="AK160" s="2">
        <v>46.5</v>
      </c>
      <c r="AL160" s="2">
        <v>156.88999999999999</v>
      </c>
      <c r="AM160" s="2">
        <v>95.725148395867564</v>
      </c>
      <c r="AN160" s="2">
        <v>49.68542649692062</v>
      </c>
    </row>
    <row r="161" spans="2:40" x14ac:dyDescent="0.35">
      <c r="B161" s="15">
        <v>41999</v>
      </c>
      <c r="C161" s="49" t="str">
        <f>$S$4</f>
        <v>AAPL</v>
      </c>
      <c r="D161" s="53">
        <f>CHOOSE($S$3,AJ161,AK161,AL161,AM161,AN161)</f>
        <v>112.56</v>
      </c>
      <c r="E161" s="55">
        <f t="shared" si="13"/>
        <v>1.7566323717899283E-2</v>
      </c>
      <c r="F161" s="55">
        <f t="shared" si="16"/>
        <v>1.7566323717899283E-2</v>
      </c>
      <c r="G161" s="70">
        <f t="shared" si="17"/>
        <v>1.6251333875016205E-2</v>
      </c>
      <c r="H161" s="53"/>
      <c r="I161" s="15">
        <v>41999</v>
      </c>
      <c r="J161" s="55">
        <v>3.9000000000000003E-3</v>
      </c>
      <c r="K161" s="55">
        <v>3.7000000000000002E-3</v>
      </c>
      <c r="L161" s="55">
        <v>-3.2000000000000002E-3</v>
      </c>
      <c r="M161" s="55">
        <v>0</v>
      </c>
      <c r="N161" s="70">
        <f t="shared" si="18"/>
        <v>3.3908548707753477E-3</v>
      </c>
      <c r="O161" s="70">
        <f t="shared" si="14"/>
        <v>3.7916500994035784E-3</v>
      </c>
      <c r="P161" s="70">
        <f t="shared" si="15"/>
        <v>-2.9015904572564613E-3</v>
      </c>
      <c r="AI161" s="15">
        <v>41999</v>
      </c>
      <c r="AJ161" s="2">
        <v>112.56</v>
      </c>
      <c r="AK161" s="2">
        <v>46.93</v>
      </c>
      <c r="AL161" s="2">
        <v>158.68</v>
      </c>
      <c r="AM161" s="2">
        <v>96.305266974988299</v>
      </c>
      <c r="AN161" s="2">
        <v>50.198591977330842</v>
      </c>
    </row>
    <row r="162" spans="2:40" x14ac:dyDescent="0.35">
      <c r="B162" s="15">
        <v>41997</v>
      </c>
      <c r="C162" s="49" t="str">
        <f>$S$4</f>
        <v>AAPL</v>
      </c>
      <c r="D162" s="53">
        <f>CHOOSE($S$3,AJ162,AK162,AL162,AM162,AN162)</f>
        <v>110.6</v>
      </c>
      <c r="E162" s="55">
        <f t="shared" si="13"/>
        <v>-4.7805981093206745E-3</v>
      </c>
      <c r="F162" s="55">
        <f t="shared" si="16"/>
        <v>-4.7805981093206745E-3</v>
      </c>
      <c r="G162" s="70">
        <f t="shared" si="17"/>
        <v>-6.0955879522037511E-3</v>
      </c>
      <c r="H162" s="53"/>
      <c r="I162" s="15">
        <v>41997</v>
      </c>
      <c r="J162" s="55">
        <v>7.000000000000001E-4</v>
      </c>
      <c r="K162" s="55">
        <v>3.5999999999999999E-3</v>
      </c>
      <c r="L162" s="55">
        <v>-1.7000000000000001E-3</v>
      </c>
      <c r="M162" s="55">
        <v>0</v>
      </c>
      <c r="N162" s="70">
        <f t="shared" si="18"/>
        <v>1.9085487077534751E-4</v>
      </c>
      <c r="O162" s="70">
        <f t="shared" si="14"/>
        <v>3.6916500994035781E-3</v>
      </c>
      <c r="P162" s="70">
        <f t="shared" si="15"/>
        <v>-1.4015904572564613E-3</v>
      </c>
      <c r="AI162" s="15">
        <v>41997</v>
      </c>
      <c r="AJ162" s="2">
        <v>110.6</v>
      </c>
      <c r="AK162" s="2">
        <v>47.18</v>
      </c>
      <c r="AL162" s="2">
        <v>158.16999999999999</v>
      </c>
      <c r="AM162" s="2">
        <v>95.312024965816619</v>
      </c>
      <c r="AN162" s="2">
        <v>50.25162847794536</v>
      </c>
    </row>
    <row r="163" spans="2:40" x14ac:dyDescent="0.35">
      <c r="B163" s="15">
        <v>41996</v>
      </c>
      <c r="C163" s="49" t="str">
        <f>$S$4</f>
        <v>AAPL</v>
      </c>
      <c r="D163" s="53">
        <f>CHOOSE($S$3,AJ163,AK163,AL163,AM163,AN163)</f>
        <v>111.13</v>
      </c>
      <c r="E163" s="55">
        <f t="shared" si="13"/>
        <v>-3.5032598146586659E-3</v>
      </c>
      <c r="F163" s="55">
        <f t="shared" si="16"/>
        <v>-3.5032598146586659E-3</v>
      </c>
      <c r="G163" s="70">
        <f t="shared" si="17"/>
        <v>-4.8182496575417434E-3</v>
      </c>
      <c r="H163" s="53"/>
      <c r="I163" s="15">
        <v>41996</v>
      </c>
      <c r="J163" s="55">
        <v>2.0999999999999999E-3</v>
      </c>
      <c r="K163" s="55">
        <v>-2.5999999999999999E-3</v>
      </c>
      <c r="L163" s="55">
        <v>1.0500000000000001E-2</v>
      </c>
      <c r="M163" s="55">
        <v>0</v>
      </c>
      <c r="N163" s="70">
        <f t="shared" si="18"/>
        <v>1.5908548707753473E-3</v>
      </c>
      <c r="O163" s="70">
        <f t="shared" si="14"/>
        <v>-2.5083499005964217E-3</v>
      </c>
      <c r="P163" s="70">
        <f t="shared" si="15"/>
        <v>1.0798409542743539E-2</v>
      </c>
      <c r="AI163" s="15">
        <v>41996</v>
      </c>
      <c r="AJ163" s="2">
        <v>111.13</v>
      </c>
      <c r="AK163" s="2">
        <v>47.48</v>
      </c>
      <c r="AL163" s="2">
        <v>158.58000000000001</v>
      </c>
      <c r="AM163" s="2">
        <v>95.663926068522258</v>
      </c>
      <c r="AN163" s="2">
        <v>50.476523968439388</v>
      </c>
    </row>
    <row r="164" spans="2:40" x14ac:dyDescent="0.35">
      <c r="B164" s="15">
        <v>41995</v>
      </c>
      <c r="C164" s="49" t="str">
        <f>$S$4</f>
        <v>AAPL</v>
      </c>
      <c r="D164" s="53">
        <f>CHOOSE($S$3,AJ164,AK164,AL164,AM164,AN164)</f>
        <v>111.52</v>
      </c>
      <c r="E164" s="55">
        <f t="shared" si="13"/>
        <v>1.027498900085861E-2</v>
      </c>
      <c r="F164" s="55">
        <f t="shared" si="16"/>
        <v>1.027498900085861E-2</v>
      </c>
      <c r="G164" s="70">
        <f t="shared" si="17"/>
        <v>8.9599991579755334E-3</v>
      </c>
      <c r="H164" s="53"/>
      <c r="I164" s="15">
        <v>41995</v>
      </c>
      <c r="J164" s="55">
        <v>3.7000000000000002E-3</v>
      </c>
      <c r="K164" s="55">
        <v>1.9E-3</v>
      </c>
      <c r="L164" s="55">
        <v>-4.0000000000000002E-4</v>
      </c>
      <c r="M164" s="55">
        <v>0</v>
      </c>
      <c r="N164" s="70">
        <f t="shared" si="18"/>
        <v>3.1908548707753476E-3</v>
      </c>
      <c r="O164" s="70">
        <f t="shared" si="14"/>
        <v>1.9916500994035784E-3</v>
      </c>
      <c r="P164" s="70">
        <f t="shared" si="15"/>
        <v>-1.0159045725646119E-4</v>
      </c>
      <c r="AI164" s="15">
        <v>41995</v>
      </c>
      <c r="AJ164" s="2">
        <v>111.52</v>
      </c>
      <c r="AK164" s="2">
        <v>47.02</v>
      </c>
      <c r="AL164" s="2">
        <v>157.80000000000001</v>
      </c>
      <c r="AM164" s="2">
        <v>95.596518891627198</v>
      </c>
      <c r="AN164" s="2">
        <v>50.107870117951698</v>
      </c>
    </row>
    <row r="165" spans="2:40" x14ac:dyDescent="0.35">
      <c r="B165" s="15">
        <v>41992</v>
      </c>
      <c r="C165" s="49" t="str">
        <f>$S$4</f>
        <v>AAPL</v>
      </c>
      <c r="D165" s="53">
        <f>CHOOSE($S$3,AJ165,AK165,AL165,AM165,AN165)</f>
        <v>110.38</v>
      </c>
      <c r="E165" s="55">
        <f t="shared" si="13"/>
        <v>-7.7610713544088231E-3</v>
      </c>
      <c r="F165" s="55">
        <f t="shared" si="16"/>
        <v>-7.7610713544088231E-3</v>
      </c>
      <c r="G165" s="70">
        <f t="shared" si="17"/>
        <v>-9.0760611972918997E-3</v>
      </c>
      <c r="H165" s="53"/>
      <c r="I165" s="15">
        <v>41992</v>
      </c>
      <c r="J165" s="55">
        <v>4.3E-3</v>
      </c>
      <c r="K165" s="55">
        <v>-2.2000000000000001E-3</v>
      </c>
      <c r="L165" s="55">
        <v>1.9E-3</v>
      </c>
      <c r="M165" s="55">
        <v>0</v>
      </c>
      <c r="N165" s="70">
        <f t="shared" si="18"/>
        <v>3.7908548707753474E-3</v>
      </c>
      <c r="O165" s="70">
        <f t="shared" si="14"/>
        <v>-2.1083499005964219E-3</v>
      </c>
      <c r="P165" s="70">
        <f t="shared" si="15"/>
        <v>2.1984095427435386E-3</v>
      </c>
      <c r="AI165" s="15">
        <v>41992</v>
      </c>
      <c r="AJ165" s="2">
        <v>110.38</v>
      </c>
      <c r="AK165" s="2">
        <v>46.71</v>
      </c>
      <c r="AL165" s="2">
        <v>154.94</v>
      </c>
      <c r="AM165" s="2">
        <v>94.241601252606728</v>
      </c>
      <c r="AN165" s="2">
        <v>49.48860832134708</v>
      </c>
    </row>
    <row r="166" spans="2:40" x14ac:dyDescent="0.35">
      <c r="B166" s="15">
        <v>41991</v>
      </c>
      <c r="C166" s="49" t="str">
        <f>$S$4</f>
        <v>AAPL</v>
      </c>
      <c r="D166" s="53">
        <f>CHOOSE($S$3,AJ166,AK166,AL166,AM166,AN166)</f>
        <v>111.24</v>
      </c>
      <c r="E166" s="55">
        <f t="shared" si="13"/>
        <v>2.9188500441349251E-2</v>
      </c>
      <c r="F166" s="55">
        <f t="shared" si="16"/>
        <v>2.9188500441349251E-2</v>
      </c>
      <c r="G166" s="70">
        <f t="shared" si="17"/>
        <v>2.7873510598466173E-2</v>
      </c>
      <c r="H166" s="53"/>
      <c r="I166" s="15">
        <v>41991</v>
      </c>
      <c r="J166" s="55">
        <v>2.3599999999999999E-2</v>
      </c>
      <c r="K166" s="55">
        <v>-8.8000000000000005E-3</v>
      </c>
      <c r="L166" s="55">
        <v>-2.0999999999999999E-3</v>
      </c>
      <c r="M166" s="55">
        <v>0</v>
      </c>
      <c r="N166" s="70">
        <f t="shared" si="18"/>
        <v>2.3090854870775349E-2</v>
      </c>
      <c r="O166" s="70">
        <f t="shared" si="14"/>
        <v>-8.7083499005964227E-3</v>
      </c>
      <c r="P166" s="70">
        <f t="shared" si="15"/>
        <v>-1.801590457256461E-3</v>
      </c>
      <c r="AI166" s="15">
        <v>41991</v>
      </c>
      <c r="AJ166" s="2">
        <v>111.24</v>
      </c>
      <c r="AK166" s="2">
        <v>46.57</v>
      </c>
      <c r="AL166" s="2">
        <v>154.13</v>
      </c>
      <c r="AM166" s="2">
        <v>94.362392428412107</v>
      </c>
      <c r="AN166" s="2">
        <v>49.285085256696675</v>
      </c>
    </row>
    <row r="167" spans="2:40" x14ac:dyDescent="0.35">
      <c r="B167" s="15">
        <v>41990</v>
      </c>
      <c r="C167" s="49" t="str">
        <f>$S$4</f>
        <v>AAPL</v>
      </c>
      <c r="D167" s="53">
        <f>CHOOSE($S$3,AJ167,AK167,AL167,AM167,AN167)</f>
        <v>108.04</v>
      </c>
      <c r="E167" s="55">
        <f t="shared" si="13"/>
        <v>2.4644020657317064E-2</v>
      </c>
      <c r="F167" s="55">
        <f t="shared" si="16"/>
        <v>2.4644020657317064E-2</v>
      </c>
      <c r="G167" s="70">
        <f t="shared" si="17"/>
        <v>2.3329030814433986E-2</v>
      </c>
      <c r="H167" s="53"/>
      <c r="I167" s="15">
        <v>41990</v>
      </c>
      <c r="J167" s="55">
        <v>2.1499999999999998E-2</v>
      </c>
      <c r="K167" s="55">
        <v>8.5000000000000006E-3</v>
      </c>
      <c r="L167" s="55">
        <v>-1E-3</v>
      </c>
      <c r="M167" s="55">
        <v>0</v>
      </c>
      <c r="N167" s="70">
        <f t="shared" si="18"/>
        <v>2.0990854870775344E-2</v>
      </c>
      <c r="O167" s="70">
        <f t="shared" si="14"/>
        <v>8.5916500994035784E-3</v>
      </c>
      <c r="P167" s="70">
        <f t="shared" si="15"/>
        <v>-7.0159045725646119E-4</v>
      </c>
      <c r="AI167" s="15">
        <v>41990</v>
      </c>
      <c r="AJ167" s="2">
        <v>108.04</v>
      </c>
      <c r="AK167" s="2">
        <v>44.83</v>
      </c>
      <c r="AL167" s="2">
        <v>148.51</v>
      </c>
      <c r="AM167" s="2">
        <v>91.284793337887251</v>
      </c>
      <c r="AN167" s="2">
        <v>47.46582895664217</v>
      </c>
    </row>
    <row r="168" spans="2:40" x14ac:dyDescent="0.35">
      <c r="B168" s="15">
        <v>41989</v>
      </c>
      <c r="C168" s="49" t="str">
        <f>$S$4</f>
        <v>AAPL</v>
      </c>
      <c r="D168" s="53">
        <f>CHOOSE($S$3,AJ168,AK168,AL168,AM168,AN168)</f>
        <v>105.41</v>
      </c>
      <c r="E168" s="55">
        <f t="shared" si="13"/>
        <v>-1.375563426970758E-2</v>
      </c>
      <c r="F168" s="55">
        <f t="shared" si="16"/>
        <v>-1.375563426970758E-2</v>
      </c>
      <c r="G168" s="70">
        <f t="shared" si="17"/>
        <v>-1.5070624112590657E-2</v>
      </c>
      <c r="H168" s="53"/>
      <c r="I168" s="15">
        <v>41989</v>
      </c>
      <c r="J168" s="55">
        <v>-8.0000000000000002E-3</v>
      </c>
      <c r="K168" s="55">
        <v>6.1999999999999998E-3</v>
      </c>
      <c r="L168" s="55">
        <v>6.0000000000000001E-3</v>
      </c>
      <c r="M168" s="55">
        <v>0</v>
      </c>
      <c r="N168" s="70">
        <f t="shared" si="18"/>
        <v>-8.5091451292246528E-3</v>
      </c>
      <c r="O168" s="70">
        <f t="shared" si="14"/>
        <v>6.2916500994035784E-3</v>
      </c>
      <c r="P168" s="70">
        <f t="shared" si="15"/>
        <v>6.298409542743539E-3</v>
      </c>
      <c r="AI168" s="15">
        <v>41989</v>
      </c>
      <c r="AJ168" s="2">
        <v>105.41</v>
      </c>
      <c r="AK168" s="2">
        <v>44.26</v>
      </c>
      <c r="AL168" s="2">
        <v>148</v>
      </c>
      <c r="AM168" s="2">
        <v>90.016986851365786</v>
      </c>
      <c r="AN168" s="2">
        <v>47.082570578753476</v>
      </c>
    </row>
    <row r="169" spans="2:40" x14ac:dyDescent="0.35">
      <c r="B169" s="15">
        <v>41988</v>
      </c>
      <c r="C169" s="49" t="str">
        <f>$S$4</f>
        <v>AAPL</v>
      </c>
      <c r="D169" s="53">
        <f>CHOOSE($S$3,AJ169,AK169,AL169,AM169,AN169)</f>
        <v>106.87</v>
      </c>
      <c r="E169" s="55">
        <f t="shared" si="13"/>
        <v>-1.3753585445562641E-2</v>
      </c>
      <c r="F169" s="55">
        <f t="shared" si="16"/>
        <v>-1.3753585445562641E-2</v>
      </c>
      <c r="G169" s="70">
        <f t="shared" si="17"/>
        <v>-1.5068575288445718E-2</v>
      </c>
      <c r="H169" s="53"/>
      <c r="I169" s="15">
        <v>41988</v>
      </c>
      <c r="J169" s="55">
        <v>-6.8000000000000005E-3</v>
      </c>
      <c r="K169" s="55">
        <v>-2.5999999999999999E-3</v>
      </c>
      <c r="L169" s="55">
        <v>1.1000000000000001E-3</v>
      </c>
      <c r="M169" s="55">
        <v>0</v>
      </c>
      <c r="N169" s="70">
        <f t="shared" si="18"/>
        <v>-7.3091451292246531E-3</v>
      </c>
      <c r="O169" s="70">
        <f t="shared" si="14"/>
        <v>-2.5083499005964217E-3</v>
      </c>
      <c r="P169" s="70">
        <f t="shared" si="15"/>
        <v>1.3984095427435389E-3</v>
      </c>
      <c r="AI169" s="15">
        <v>41988</v>
      </c>
      <c r="AJ169" s="2">
        <v>106.87</v>
      </c>
      <c r="AK169" s="2">
        <v>45.74</v>
      </c>
      <c r="AL169" s="2">
        <v>149.61000000000001</v>
      </c>
      <c r="AM169" s="2">
        <v>91.130004436467445</v>
      </c>
      <c r="AN169" s="2">
        <v>48.125853233109595</v>
      </c>
    </row>
    <row r="170" spans="2:40" x14ac:dyDescent="0.35">
      <c r="B170" s="15">
        <v>41985</v>
      </c>
      <c r="C170" s="49" t="str">
        <f>$S$4</f>
        <v>AAPL</v>
      </c>
      <c r="D170" s="53">
        <f>CHOOSE($S$3,AJ170,AK170,AL170,AM170,AN170)</f>
        <v>108.35</v>
      </c>
      <c r="E170" s="55">
        <f t="shared" si="13"/>
        <v>-1.7111640472721231E-2</v>
      </c>
      <c r="F170" s="55">
        <f t="shared" si="16"/>
        <v>-1.7111640472721231E-2</v>
      </c>
      <c r="G170" s="70">
        <f t="shared" si="17"/>
        <v>-1.8426630315604309E-2</v>
      </c>
      <c r="H170" s="53"/>
      <c r="I170" s="15">
        <v>41985</v>
      </c>
      <c r="J170" s="55">
        <v>-1.55E-2</v>
      </c>
      <c r="K170" s="55">
        <v>4.8999999999999998E-3</v>
      </c>
      <c r="L170" s="55">
        <v>-5.7999999999999996E-3</v>
      </c>
      <c r="M170" s="55">
        <v>0</v>
      </c>
      <c r="N170" s="70">
        <f t="shared" si="18"/>
        <v>-1.6009145129224654E-2</v>
      </c>
      <c r="O170" s="70">
        <f t="shared" si="14"/>
        <v>4.9916500994035785E-3</v>
      </c>
      <c r="P170" s="70">
        <f t="shared" si="15"/>
        <v>-5.5015904572564608E-3</v>
      </c>
      <c r="AI170" s="15">
        <v>41985</v>
      </c>
      <c r="AJ170" s="2">
        <v>108.35</v>
      </c>
      <c r="AK170" s="2">
        <v>46.01</v>
      </c>
      <c r="AL170" s="2">
        <v>151.88</v>
      </c>
      <c r="AM170" s="2">
        <v>92.452363847865428</v>
      </c>
      <c r="AN170" s="2">
        <v>48.632996548450556</v>
      </c>
    </row>
    <row r="171" spans="2:40" x14ac:dyDescent="0.35">
      <c r="B171" s="15">
        <v>41984</v>
      </c>
      <c r="C171" s="49" t="str">
        <f>$S$4</f>
        <v>AAPL</v>
      </c>
      <c r="D171" s="53">
        <f>CHOOSE($S$3,AJ171,AK171,AL171,AM171,AN171)</f>
        <v>110.22</v>
      </c>
      <c r="E171" s="55">
        <f t="shared" si="13"/>
        <v>-2.9895388483660483E-3</v>
      </c>
      <c r="F171" s="55">
        <f t="shared" si="16"/>
        <v>-2.9895388483660483E-3</v>
      </c>
      <c r="G171" s="70">
        <f t="shared" si="17"/>
        <v>-4.3045286912491258E-3</v>
      </c>
      <c r="H171" s="53"/>
      <c r="I171" s="15">
        <v>41984</v>
      </c>
      <c r="J171" s="55">
        <v>4.8999999999999998E-3</v>
      </c>
      <c r="K171" s="55">
        <v>-8.0000000000000004E-4</v>
      </c>
      <c r="L171" s="55">
        <v>-2E-3</v>
      </c>
      <c r="M171" s="55">
        <v>0</v>
      </c>
      <c r="N171" s="70">
        <f t="shared" si="18"/>
        <v>4.3908548707753473E-3</v>
      </c>
      <c r="O171" s="70">
        <f t="shared" si="14"/>
        <v>-7.083499005964217E-4</v>
      </c>
      <c r="P171" s="70">
        <f t="shared" si="15"/>
        <v>-1.7015904572564612E-3</v>
      </c>
      <c r="AI171" s="15">
        <v>41984</v>
      </c>
      <c r="AJ171" s="2">
        <v>110.22</v>
      </c>
      <c r="AK171" s="2">
        <v>46.23</v>
      </c>
      <c r="AL171" s="2">
        <v>157.44</v>
      </c>
      <c r="AM171" s="2">
        <v>94.942417180144375</v>
      </c>
      <c r="AN171" s="2">
        <v>49.639442248277462</v>
      </c>
    </row>
    <row r="172" spans="2:40" x14ac:dyDescent="0.35">
      <c r="B172" s="15">
        <v>41983</v>
      </c>
      <c r="C172" s="49" t="str">
        <f>$S$4</f>
        <v>AAPL</v>
      </c>
      <c r="D172" s="53">
        <f>CHOOSE($S$3,AJ172,AK172,AL172,AM172,AN172)</f>
        <v>110.55</v>
      </c>
      <c r="E172" s="55">
        <f t="shared" si="13"/>
        <v>-1.9172778660802636E-2</v>
      </c>
      <c r="F172" s="55">
        <f t="shared" si="16"/>
        <v>-1.9172778660802636E-2</v>
      </c>
      <c r="G172" s="70">
        <f t="shared" si="17"/>
        <v>-2.0487768503685715E-2</v>
      </c>
      <c r="H172" s="53"/>
      <c r="I172" s="15">
        <v>41983</v>
      </c>
      <c r="J172" s="55">
        <v>-1.72E-2</v>
      </c>
      <c r="K172" s="55">
        <v>-6.1999999999999998E-3</v>
      </c>
      <c r="L172" s="55">
        <v>-1E-3</v>
      </c>
      <c r="M172" s="55">
        <v>0</v>
      </c>
      <c r="N172" s="70">
        <f t="shared" si="18"/>
        <v>-1.7709145129224654E-2</v>
      </c>
      <c r="O172" s="70">
        <f t="shared" si="14"/>
        <v>-6.1083499005964211E-3</v>
      </c>
      <c r="P172" s="70">
        <f t="shared" si="15"/>
        <v>-7.0159045725646119E-4</v>
      </c>
      <c r="AI172" s="15">
        <v>41983</v>
      </c>
      <c r="AJ172" s="2">
        <v>110.55</v>
      </c>
      <c r="AK172" s="2">
        <v>45.96</v>
      </c>
      <c r="AL172" s="2">
        <v>156.88999999999999</v>
      </c>
      <c r="AM172" s="2">
        <v>94.918710897253305</v>
      </c>
      <c r="AN172" s="2">
        <v>49.407780984891552</v>
      </c>
    </row>
    <row r="173" spans="2:40" x14ac:dyDescent="0.35">
      <c r="B173" s="15">
        <v>41982</v>
      </c>
      <c r="C173" s="49" t="str">
        <f>$S$4</f>
        <v>AAPL</v>
      </c>
      <c r="D173" s="53">
        <f>CHOOSE($S$3,AJ173,AK173,AL173,AM173,AN173)</f>
        <v>112.69</v>
      </c>
      <c r="E173" s="55">
        <f t="shared" si="13"/>
        <v>1.520057880036994E-2</v>
      </c>
      <c r="F173" s="55">
        <f t="shared" si="16"/>
        <v>1.520057880036994E-2</v>
      </c>
      <c r="G173" s="70">
        <f t="shared" si="17"/>
        <v>1.3885588957486863E-2</v>
      </c>
      <c r="H173" s="53"/>
      <c r="I173" s="15">
        <v>41982</v>
      </c>
      <c r="J173" s="55">
        <v>1.2999999999999999E-3</v>
      </c>
      <c r="K173" s="55">
        <v>1.7100000000000001E-2</v>
      </c>
      <c r="L173" s="55">
        <v>-2.8000000000000004E-3</v>
      </c>
      <c r="M173" s="55">
        <v>0</v>
      </c>
      <c r="N173" s="70">
        <f t="shared" si="18"/>
        <v>7.9085487077534735E-4</v>
      </c>
      <c r="O173" s="70">
        <f t="shared" si="14"/>
        <v>1.7191650099403578E-2</v>
      </c>
      <c r="P173" s="70">
        <f t="shared" si="15"/>
        <v>-2.5015904572564616E-3</v>
      </c>
      <c r="AI173" s="15">
        <v>41982</v>
      </c>
      <c r="AJ173" s="2">
        <v>112.69</v>
      </c>
      <c r="AK173" s="2">
        <v>46.64</v>
      </c>
      <c r="AL173" s="2">
        <v>159.32</v>
      </c>
      <c r="AM173" s="2">
        <v>96.572494572260553</v>
      </c>
      <c r="AN173" s="2">
        <v>50.155914424447325</v>
      </c>
    </row>
    <row r="174" spans="2:40" x14ac:dyDescent="0.35">
      <c r="B174" s="15">
        <v>41981</v>
      </c>
      <c r="C174" s="49" t="str">
        <f>$S$4</f>
        <v>AAPL</v>
      </c>
      <c r="D174" s="53">
        <f>CHOOSE($S$3,AJ174,AK174,AL174,AM174,AN174)</f>
        <v>110.99</v>
      </c>
      <c r="E174" s="55">
        <f t="shared" si="13"/>
        <v>-2.2891224440882367E-2</v>
      </c>
      <c r="F174" s="55">
        <f t="shared" si="16"/>
        <v>-2.2891224440882367E-2</v>
      </c>
      <c r="G174" s="70">
        <f t="shared" si="17"/>
        <v>-2.4206214283765445E-2</v>
      </c>
      <c r="H174" s="53"/>
      <c r="I174" s="15">
        <v>41981</v>
      </c>
      <c r="J174" s="55">
        <v>-8.199999999999999E-3</v>
      </c>
      <c r="K174" s="55">
        <v>-5.8999999999999999E-3</v>
      </c>
      <c r="L174" s="55">
        <v>2.5999999999999999E-3</v>
      </c>
      <c r="M174" s="55">
        <v>0</v>
      </c>
      <c r="N174" s="70">
        <f t="shared" si="18"/>
        <v>-8.7091451292246515E-3</v>
      </c>
      <c r="O174" s="70">
        <f t="shared" si="14"/>
        <v>-5.8083499005964212E-3</v>
      </c>
      <c r="P174" s="70">
        <f t="shared" si="15"/>
        <v>2.8984095427435387E-3</v>
      </c>
      <c r="AI174" s="15">
        <v>41981</v>
      </c>
      <c r="AJ174" s="2">
        <v>110.99</v>
      </c>
      <c r="AK174" s="2">
        <v>46.75</v>
      </c>
      <c r="AL174" s="2">
        <v>158.21</v>
      </c>
      <c r="AM174" s="2">
        <v>95.507650352495162</v>
      </c>
      <c r="AN174" s="2">
        <v>50.040339657997265</v>
      </c>
    </row>
    <row r="175" spans="2:40" x14ac:dyDescent="0.35">
      <c r="B175" s="15">
        <v>41978</v>
      </c>
      <c r="C175" s="49" t="str">
        <f>$S$4</f>
        <v>AAPL</v>
      </c>
      <c r="D175" s="53">
        <f>CHOOSE($S$3,AJ175,AK175,AL175,AM175,AN175)</f>
        <v>113.56</v>
      </c>
      <c r="E175" s="55">
        <f t="shared" si="13"/>
        <v>-4.2179324397008536E-3</v>
      </c>
      <c r="F175" s="55">
        <f t="shared" si="16"/>
        <v>-4.2179324397008536E-3</v>
      </c>
      <c r="G175" s="70">
        <f t="shared" si="17"/>
        <v>-5.5329222825839311E-3</v>
      </c>
      <c r="H175" s="53"/>
      <c r="I175" s="15">
        <v>41978</v>
      </c>
      <c r="J175" s="55">
        <v>2.5000000000000001E-3</v>
      </c>
      <c r="K175" s="55">
        <v>5.6999999999999993E-3</v>
      </c>
      <c r="L175" s="55">
        <v>2.5000000000000001E-3</v>
      </c>
      <c r="M175" s="55">
        <v>0</v>
      </c>
      <c r="N175" s="70">
        <f t="shared" si="18"/>
        <v>1.9908548707753475E-3</v>
      </c>
      <c r="O175" s="70">
        <f t="shared" si="14"/>
        <v>5.791650099403578E-3</v>
      </c>
      <c r="P175" s="70">
        <f t="shared" si="15"/>
        <v>2.7984095427435389E-3</v>
      </c>
      <c r="AI175" s="15">
        <v>41978</v>
      </c>
      <c r="AJ175" s="2">
        <v>113.56</v>
      </c>
      <c r="AK175" s="2">
        <v>47.45</v>
      </c>
      <c r="AL175" s="2">
        <v>159.59</v>
      </c>
      <c r="AM175" s="2">
        <v>97.029938344681241</v>
      </c>
      <c r="AN175" s="2">
        <v>50.633213747646607</v>
      </c>
    </row>
    <row r="176" spans="2:40" x14ac:dyDescent="0.35">
      <c r="B176" s="15">
        <v>41977</v>
      </c>
      <c r="C176" s="49" t="str">
        <f>$S$4</f>
        <v>AAPL</v>
      </c>
      <c r="D176" s="53">
        <f>CHOOSE($S$3,AJ176,AK176,AL176,AM176,AN176)</f>
        <v>114.04</v>
      </c>
      <c r="E176" s="55">
        <f t="shared" si="13"/>
        <v>-3.8508712037241622E-3</v>
      </c>
      <c r="F176" s="55">
        <f t="shared" si="16"/>
        <v>-3.8508712037241622E-3</v>
      </c>
      <c r="G176" s="70">
        <f t="shared" si="17"/>
        <v>-5.1658610466072397E-3</v>
      </c>
      <c r="H176" s="53"/>
      <c r="I176" s="15">
        <v>41977</v>
      </c>
      <c r="J176" s="55">
        <v>-1.7000000000000001E-3</v>
      </c>
      <c r="K176" s="55">
        <v>-3.0999999999999999E-3</v>
      </c>
      <c r="L176" s="55">
        <v>8.9999999999999998E-4</v>
      </c>
      <c r="M176" s="55">
        <v>0</v>
      </c>
      <c r="N176" s="70">
        <f t="shared" si="18"/>
        <v>-2.2091451292246527E-3</v>
      </c>
      <c r="O176" s="70">
        <f t="shared" si="14"/>
        <v>-3.0083499005964217E-3</v>
      </c>
      <c r="P176" s="70">
        <f t="shared" si="15"/>
        <v>1.1984095427435388E-3</v>
      </c>
      <c r="AI176" s="15">
        <v>41977</v>
      </c>
      <c r="AJ176" s="2">
        <v>114.04</v>
      </c>
      <c r="AK176" s="2">
        <v>47.87</v>
      </c>
      <c r="AL176" s="2">
        <v>160.35</v>
      </c>
      <c r="AM176" s="2">
        <v>97.466041516966996</v>
      </c>
      <c r="AN176" s="2">
        <v>50.977864557509818</v>
      </c>
    </row>
    <row r="177" spans="2:40" x14ac:dyDescent="0.35">
      <c r="B177" s="15">
        <v>41976</v>
      </c>
      <c r="C177" s="49" t="str">
        <f>$S$4</f>
        <v>AAPL</v>
      </c>
      <c r="D177" s="53">
        <f>CHOOSE($S$3,AJ177,AK177,AL177,AM177,AN177)</f>
        <v>114.48</v>
      </c>
      <c r="E177" s="55">
        <f t="shared" si="13"/>
        <v>1.1332312603866647E-2</v>
      </c>
      <c r="F177" s="55">
        <f t="shared" si="16"/>
        <v>1.1332312603866647E-2</v>
      </c>
      <c r="G177" s="70">
        <f t="shared" si="17"/>
        <v>1.001732276098357E-2</v>
      </c>
      <c r="H177" s="53"/>
      <c r="I177" s="15">
        <v>41976</v>
      </c>
      <c r="J177" s="55">
        <v>4.5999999999999999E-3</v>
      </c>
      <c r="K177" s="55">
        <v>4.5000000000000005E-3</v>
      </c>
      <c r="L177" s="55">
        <v>3.0999999999999999E-3</v>
      </c>
      <c r="M177" s="55">
        <v>0</v>
      </c>
      <c r="N177" s="70">
        <f t="shared" si="18"/>
        <v>4.0908548707753473E-3</v>
      </c>
      <c r="O177" s="70">
        <f t="shared" si="14"/>
        <v>4.5916500994035792E-3</v>
      </c>
      <c r="P177" s="70">
        <f t="shared" si="15"/>
        <v>3.3984095427435387E-3</v>
      </c>
      <c r="AI177" s="15">
        <v>41976</v>
      </c>
      <c r="AJ177" s="2">
        <v>114.48</v>
      </c>
      <c r="AK177" s="2">
        <v>47.12</v>
      </c>
      <c r="AL177" s="2">
        <v>160.81</v>
      </c>
      <c r="AM177" s="2">
        <v>97.793869522258319</v>
      </c>
      <c r="AN177" s="2">
        <v>50.651639156928155</v>
      </c>
    </row>
    <row r="178" spans="2:40" x14ac:dyDescent="0.35">
      <c r="B178" s="15">
        <v>41975</v>
      </c>
      <c r="C178" s="49" t="str">
        <f>$S$4</f>
        <v>AAPL</v>
      </c>
      <c r="D178" s="53">
        <f>CHOOSE($S$3,AJ178,AK178,AL178,AM178,AN178)</f>
        <v>113.19</v>
      </c>
      <c r="E178" s="55">
        <f t="shared" si="13"/>
        <v>-3.8797332855889629E-3</v>
      </c>
      <c r="F178" s="55">
        <f t="shared" si="16"/>
        <v>-3.8797332855889629E-3</v>
      </c>
      <c r="G178" s="70">
        <f t="shared" si="17"/>
        <v>-5.1947231284720403E-3</v>
      </c>
      <c r="H178" s="53"/>
      <c r="I178" s="15">
        <v>41975</v>
      </c>
      <c r="J178" s="55">
        <v>6.5000000000000006E-3</v>
      </c>
      <c r="K178" s="55">
        <v>4.1999999999999997E-3</v>
      </c>
      <c r="L178" s="55">
        <v>5.0000000000000001E-4</v>
      </c>
      <c r="M178" s="55">
        <v>0</v>
      </c>
      <c r="N178" s="70">
        <f t="shared" si="18"/>
        <v>5.990854870775348E-3</v>
      </c>
      <c r="O178" s="70">
        <f t="shared" si="14"/>
        <v>4.2916500994035784E-3</v>
      </c>
      <c r="P178" s="70">
        <f t="shared" si="15"/>
        <v>7.9840954274353884E-4</v>
      </c>
      <c r="AI178" s="15">
        <v>41975</v>
      </c>
      <c r="AJ178" s="2">
        <v>113.19</v>
      </c>
      <c r="AK178" s="2">
        <v>47.49</v>
      </c>
      <c r="AL178" s="2">
        <v>159</v>
      </c>
      <c r="AM178" s="2">
        <v>96.69252167475878</v>
      </c>
      <c r="AN178" s="2">
        <v>50.565449646093889</v>
      </c>
    </row>
    <row r="179" spans="2:40" x14ac:dyDescent="0.35">
      <c r="B179" s="15">
        <v>41974</v>
      </c>
      <c r="C179" s="49" t="str">
        <f>$S$4</f>
        <v>AAPL</v>
      </c>
      <c r="D179" s="53">
        <f>CHOOSE($S$3,AJ179,AK179,AL179,AM179,AN179)</f>
        <v>113.63</v>
      </c>
      <c r="E179" s="55">
        <f t="shared" si="13"/>
        <v>-3.2980008936287768E-2</v>
      </c>
      <c r="F179" s="55">
        <f t="shared" si="16"/>
        <v>-3.2980008936287768E-2</v>
      </c>
      <c r="G179" s="70">
        <f t="shared" si="17"/>
        <v>-3.4294998779170846E-2</v>
      </c>
      <c r="H179" s="53"/>
      <c r="I179" s="15">
        <v>41974</v>
      </c>
      <c r="J179" s="55">
        <v>-9.0000000000000011E-3</v>
      </c>
      <c r="K179" s="55">
        <v>-9.7000000000000003E-3</v>
      </c>
      <c r="L179" s="55">
        <v>6.0999999999999995E-3</v>
      </c>
      <c r="M179" s="55">
        <v>0</v>
      </c>
      <c r="N179" s="70">
        <f t="shared" si="18"/>
        <v>-9.5091451292246536E-3</v>
      </c>
      <c r="O179" s="70">
        <f t="shared" si="14"/>
        <v>-9.6083499005964225E-3</v>
      </c>
      <c r="P179" s="70">
        <f t="shared" si="15"/>
        <v>6.3984095427435383E-3</v>
      </c>
      <c r="AI179" s="15">
        <v>41974</v>
      </c>
      <c r="AJ179" s="2">
        <v>113.63</v>
      </c>
      <c r="AK179" s="2">
        <v>47.65</v>
      </c>
      <c r="AL179" s="2">
        <v>157.9</v>
      </c>
      <c r="AM179" s="2">
        <v>96.545985618202337</v>
      </c>
      <c r="AN179" s="2">
        <v>50.475718508716689</v>
      </c>
    </row>
    <row r="180" spans="2:40" x14ac:dyDescent="0.35">
      <c r="B180" s="15">
        <v>41971</v>
      </c>
      <c r="C180" s="49" t="str">
        <f>$S$4</f>
        <v>AAPL</v>
      </c>
      <c r="D180" s="53">
        <f>CHOOSE($S$3,AJ180,AK180,AL180,AM180,AN180)</f>
        <v>117.44</v>
      </c>
      <c r="E180" s="55">
        <f t="shared" si="13"/>
        <v>-5.9587147964420802E-4</v>
      </c>
      <c r="F180" s="55">
        <f t="shared" si="16"/>
        <v>-5.9587147964420802E-4</v>
      </c>
      <c r="G180" s="70">
        <f t="shared" si="17"/>
        <v>-1.9108613225272851E-3</v>
      </c>
      <c r="H180" s="53"/>
      <c r="I180" s="15">
        <v>41971</v>
      </c>
      <c r="J180" s="55">
        <v>-3.4999999999999996E-3</v>
      </c>
      <c r="K180" s="55">
        <v>-9.300000000000001E-3</v>
      </c>
      <c r="L180" s="55">
        <v>-1.0200000000000001E-2</v>
      </c>
      <c r="M180" s="55">
        <v>0</v>
      </c>
      <c r="N180" s="70">
        <f t="shared" si="18"/>
        <v>-4.0091451292246522E-3</v>
      </c>
      <c r="O180" s="70">
        <f t="shared" si="14"/>
        <v>-9.2083499005964232E-3</v>
      </c>
      <c r="P180" s="70">
        <f t="shared" si="15"/>
        <v>-9.9015904572564619E-3</v>
      </c>
      <c r="AI180" s="15">
        <v>41971</v>
      </c>
      <c r="AJ180" s="2">
        <v>117.44</v>
      </c>
      <c r="AK180" s="2">
        <v>46.86</v>
      </c>
      <c r="AL180" s="2">
        <v>158.51</v>
      </c>
      <c r="AM180" s="2">
        <v>98.351061607945951</v>
      </c>
      <c r="AN180" s="2">
        <v>50.154793412310205</v>
      </c>
    </row>
    <row r="181" spans="2:40" x14ac:dyDescent="0.35">
      <c r="B181" s="15">
        <v>41969</v>
      </c>
      <c r="C181" s="49" t="str">
        <f>$S$4</f>
        <v>AAPL</v>
      </c>
      <c r="D181" s="53">
        <f>CHOOSE($S$3,AJ181,AK181,AL181,AM181,AN181)</f>
        <v>117.51</v>
      </c>
      <c r="E181" s="55">
        <f t="shared" si="13"/>
        <v>1.1899297189420522E-2</v>
      </c>
      <c r="F181" s="55">
        <f t="shared" si="16"/>
        <v>1.1899297189420522E-2</v>
      </c>
      <c r="G181" s="70">
        <f t="shared" si="17"/>
        <v>1.0584307346537446E-2</v>
      </c>
      <c r="H181" s="53"/>
      <c r="I181" s="15">
        <v>41969</v>
      </c>
      <c r="J181" s="55">
        <v>3.0000000000000001E-3</v>
      </c>
      <c r="K181" s="55">
        <v>8.9999999999999998E-4</v>
      </c>
      <c r="L181" s="55">
        <v>-4.5000000000000005E-3</v>
      </c>
      <c r="M181" s="55">
        <v>0</v>
      </c>
      <c r="N181" s="70">
        <f t="shared" si="18"/>
        <v>2.4908548707753475E-3</v>
      </c>
      <c r="O181" s="70">
        <f t="shared" si="14"/>
        <v>9.916500994035782E-4</v>
      </c>
      <c r="P181" s="70">
        <f t="shared" si="15"/>
        <v>-4.2015904572564617E-3</v>
      </c>
      <c r="AI181" s="15">
        <v>41969</v>
      </c>
      <c r="AJ181" s="2">
        <v>117.51</v>
      </c>
      <c r="AK181" s="2">
        <v>46.8</v>
      </c>
      <c r="AL181" s="2">
        <v>158.30000000000001</v>
      </c>
      <c r="AM181" s="2">
        <v>98.315223046449404</v>
      </c>
      <c r="AN181" s="2">
        <v>50.089460592732067</v>
      </c>
    </row>
    <row r="182" spans="2:40" x14ac:dyDescent="0.35">
      <c r="B182" s="15">
        <v>41968</v>
      </c>
      <c r="C182" s="49" t="str">
        <f>$S$4</f>
        <v>AAPL</v>
      </c>
      <c r="D182" s="53">
        <f>CHOOSE($S$3,AJ182,AK182,AL182,AM182,AN182)</f>
        <v>116.12</v>
      </c>
      <c r="E182" s="55">
        <f t="shared" si="13"/>
        <v>-8.7456615052070898E-3</v>
      </c>
      <c r="F182" s="55">
        <f t="shared" si="16"/>
        <v>-8.7456615052070898E-3</v>
      </c>
      <c r="G182" s="70">
        <f t="shared" si="17"/>
        <v>-1.0060651348090166E-2</v>
      </c>
      <c r="H182" s="53"/>
      <c r="I182" s="15">
        <v>41968</v>
      </c>
      <c r="J182" s="55">
        <v>-8.0000000000000004E-4</v>
      </c>
      <c r="K182" s="55">
        <v>7.000000000000001E-4</v>
      </c>
      <c r="L182" s="55">
        <v>-4.0000000000000002E-4</v>
      </c>
      <c r="M182" s="55">
        <v>0</v>
      </c>
      <c r="N182" s="70">
        <f t="shared" si="18"/>
        <v>-1.3091451292246525E-3</v>
      </c>
      <c r="O182" s="70">
        <f t="shared" si="14"/>
        <v>7.9165009940357844E-4</v>
      </c>
      <c r="P182" s="70">
        <f t="shared" si="15"/>
        <v>-1.0159045725646119E-4</v>
      </c>
      <c r="AI182" s="15">
        <v>41968</v>
      </c>
      <c r="AJ182" s="2">
        <v>116.12</v>
      </c>
      <c r="AK182" s="2">
        <v>46.52</v>
      </c>
      <c r="AL182" s="2">
        <v>158.11000000000001</v>
      </c>
      <c r="AM182" s="2">
        <v>97.674746893187859</v>
      </c>
      <c r="AN182" s="2">
        <v>49.909560321223978</v>
      </c>
    </row>
    <row r="183" spans="2:40" x14ac:dyDescent="0.35">
      <c r="B183" s="15">
        <v>41967</v>
      </c>
      <c r="C183" s="49" t="str">
        <f>$S$4</f>
        <v>AAPL</v>
      </c>
      <c r="D183" s="53">
        <f>CHOOSE($S$3,AJ183,AK183,AL183,AM183,AN183)</f>
        <v>117.14</v>
      </c>
      <c r="E183" s="55">
        <f t="shared" si="13"/>
        <v>1.8350719557146268E-2</v>
      </c>
      <c r="F183" s="55">
        <f t="shared" si="16"/>
        <v>1.8350719557146268E-2</v>
      </c>
      <c r="G183" s="70">
        <f t="shared" si="17"/>
        <v>1.703572971426319E-2</v>
      </c>
      <c r="H183" s="53"/>
      <c r="I183" s="15">
        <v>41967</v>
      </c>
      <c r="J183" s="55">
        <v>4.0000000000000001E-3</v>
      </c>
      <c r="K183" s="55">
        <v>9.3999999999999986E-3</v>
      </c>
      <c r="L183" s="55">
        <v>-5.6999999999999993E-3</v>
      </c>
      <c r="M183" s="55">
        <v>0</v>
      </c>
      <c r="N183" s="70">
        <f t="shared" si="18"/>
        <v>3.4908548707753475E-3</v>
      </c>
      <c r="O183" s="70">
        <f t="shared" si="14"/>
        <v>9.4916500994035764E-3</v>
      </c>
      <c r="P183" s="70">
        <f t="shared" si="15"/>
        <v>-5.4015904572564605E-3</v>
      </c>
      <c r="AI183" s="15">
        <v>41967</v>
      </c>
      <c r="AJ183" s="2">
        <v>117.14</v>
      </c>
      <c r="AK183" s="2">
        <v>46.64</v>
      </c>
      <c r="AL183" s="2">
        <v>158.5</v>
      </c>
      <c r="AM183" s="2">
        <v>98.224199268767862</v>
      </c>
      <c r="AN183" s="2">
        <v>50.03548645497203</v>
      </c>
    </row>
    <row r="184" spans="2:40" x14ac:dyDescent="0.35">
      <c r="B184" s="15">
        <v>41964</v>
      </c>
      <c r="C184" s="49" t="str">
        <f>$S$4</f>
        <v>AAPL</v>
      </c>
      <c r="D184" s="53">
        <f>CHOOSE($S$3,AJ184,AK184,AL184,AM184,AN184)</f>
        <v>115.01</v>
      </c>
      <c r="E184" s="55">
        <f t="shared" si="13"/>
        <v>1.392151969382815E-3</v>
      </c>
      <c r="F184" s="55">
        <f t="shared" si="16"/>
        <v>1.392151969382815E-3</v>
      </c>
      <c r="G184" s="70">
        <f t="shared" si="17"/>
        <v>7.7162126499737962E-5</v>
      </c>
      <c r="H184" s="53"/>
      <c r="I184" s="15">
        <v>41964</v>
      </c>
      <c r="J184" s="55">
        <v>4.7999999999999996E-3</v>
      </c>
      <c r="K184" s="55">
        <v>-3.9000000000000003E-3</v>
      </c>
      <c r="L184" s="55">
        <v>-8.9999999999999998E-4</v>
      </c>
      <c r="M184" s="55">
        <v>0</v>
      </c>
      <c r="N184" s="70">
        <f t="shared" si="18"/>
        <v>4.290854870775347E-3</v>
      </c>
      <c r="O184" s="70">
        <f t="shared" si="14"/>
        <v>-3.808349900596422E-3</v>
      </c>
      <c r="P184" s="70">
        <f t="shared" si="15"/>
        <v>-6.0159045725646115E-4</v>
      </c>
      <c r="AI184" s="15">
        <v>41964</v>
      </c>
      <c r="AJ184" s="2">
        <v>115.01</v>
      </c>
      <c r="AK184" s="2">
        <v>47.02</v>
      </c>
      <c r="AL184" s="2">
        <v>157.29</v>
      </c>
      <c r="AM184" s="2">
        <v>96.956250596603681</v>
      </c>
      <c r="AN184" s="2">
        <v>50.048331651712793</v>
      </c>
    </row>
    <row r="185" spans="2:40" x14ac:dyDescent="0.35">
      <c r="B185" s="15">
        <v>41963</v>
      </c>
      <c r="C185" s="49" t="str">
        <f>$S$4</f>
        <v>AAPL</v>
      </c>
      <c r="D185" s="53">
        <f>CHOOSE($S$3,AJ185,AK185,AL185,AM185,AN185)</f>
        <v>114.85</v>
      </c>
      <c r="E185" s="55">
        <f t="shared" si="13"/>
        <v>1.420578080915892E-2</v>
      </c>
      <c r="F185" s="55">
        <f t="shared" si="16"/>
        <v>1.420578080915892E-2</v>
      </c>
      <c r="G185" s="70">
        <f t="shared" si="17"/>
        <v>1.2890790966275843E-2</v>
      </c>
      <c r="H185" s="53"/>
      <c r="I185" s="15">
        <v>41963</v>
      </c>
      <c r="J185" s="55">
        <v>3.0999999999999999E-3</v>
      </c>
      <c r="K185" s="55">
        <v>8.8000000000000005E-3</v>
      </c>
      <c r="L185" s="55">
        <v>-2.0000000000000001E-4</v>
      </c>
      <c r="M185" s="55">
        <v>0</v>
      </c>
      <c r="N185" s="70">
        <f t="shared" si="18"/>
        <v>2.5908548707753473E-3</v>
      </c>
      <c r="O185" s="70">
        <f t="shared" si="14"/>
        <v>8.8916500994035783E-3</v>
      </c>
      <c r="P185" s="70">
        <f t="shared" si="15"/>
        <v>9.8409542743538818E-5</v>
      </c>
      <c r="AI185" s="15">
        <v>41963</v>
      </c>
      <c r="AJ185" s="2">
        <v>114.85</v>
      </c>
      <c r="AK185" s="2">
        <v>47.73</v>
      </c>
      <c r="AL185" s="2">
        <v>157.02000000000001</v>
      </c>
      <c r="AM185" s="2">
        <v>96.805592321882244</v>
      </c>
      <c r="AN185" s="2">
        <v>50.383239646831598</v>
      </c>
    </row>
    <row r="186" spans="2:40" x14ac:dyDescent="0.35">
      <c r="B186" s="15">
        <v>41962</v>
      </c>
      <c r="C186" s="49" t="str">
        <f>$S$4</f>
        <v>AAPL</v>
      </c>
      <c r="D186" s="53">
        <f>CHOOSE($S$3,AJ186,AK186,AL186,AM186,AN186)</f>
        <v>113.23</v>
      </c>
      <c r="E186" s="55">
        <f t="shared" si="13"/>
        <v>-6.9527232774875703E-3</v>
      </c>
      <c r="F186" s="55">
        <f t="shared" si="16"/>
        <v>-6.9527232774875703E-3</v>
      </c>
      <c r="G186" s="70">
        <f t="shared" si="17"/>
        <v>-8.2677131203706469E-3</v>
      </c>
      <c r="H186" s="53"/>
      <c r="I186" s="15">
        <v>41962</v>
      </c>
      <c r="J186" s="55">
        <v>-2.0999999999999999E-3</v>
      </c>
      <c r="K186" s="55">
        <v>-9.300000000000001E-3</v>
      </c>
      <c r="L186" s="55">
        <v>-5.9999999999999995E-4</v>
      </c>
      <c r="M186" s="55">
        <v>0</v>
      </c>
      <c r="N186" s="70">
        <f t="shared" si="18"/>
        <v>-2.6091451292246525E-3</v>
      </c>
      <c r="O186" s="70">
        <f t="shared" si="14"/>
        <v>-9.2083499005964232E-3</v>
      </c>
      <c r="P186" s="70">
        <f t="shared" si="15"/>
        <v>-3.0159045725646112E-4</v>
      </c>
      <c r="AI186" s="15">
        <v>41962</v>
      </c>
      <c r="AJ186" s="2">
        <v>113.23</v>
      </c>
      <c r="AK186" s="2">
        <v>47.26</v>
      </c>
      <c r="AL186" s="2">
        <v>157.79</v>
      </c>
      <c r="AM186" s="2">
        <v>96.36021298118979</v>
      </c>
      <c r="AN186" s="2">
        <v>50.258711866113813</v>
      </c>
    </row>
    <row r="187" spans="2:40" x14ac:dyDescent="0.35">
      <c r="B187" s="15">
        <v>41961</v>
      </c>
      <c r="C187" s="49" t="str">
        <f>$S$4</f>
        <v>AAPL</v>
      </c>
      <c r="D187" s="53">
        <f>CHOOSE($S$3,AJ187,AK187,AL187,AM187,AN187)</f>
        <v>114.02</v>
      </c>
      <c r="E187" s="55">
        <f t="shared" si="13"/>
        <v>1.288745879730223E-2</v>
      </c>
      <c r="F187" s="55">
        <f t="shared" si="16"/>
        <v>1.288745879730223E-2</v>
      </c>
      <c r="G187" s="70">
        <f t="shared" si="17"/>
        <v>1.1572468954419154E-2</v>
      </c>
      <c r="H187" s="53"/>
      <c r="I187" s="15">
        <v>41961</v>
      </c>
      <c r="J187" s="55">
        <v>5.1000000000000004E-3</v>
      </c>
      <c r="K187" s="55">
        <v>5.0000000000000001E-4</v>
      </c>
      <c r="L187" s="55">
        <v>-3.5999999999999999E-3</v>
      </c>
      <c r="M187" s="55">
        <v>0</v>
      </c>
      <c r="N187" s="70">
        <f t="shared" si="18"/>
        <v>4.5908548707753478E-3</v>
      </c>
      <c r="O187" s="70">
        <f t="shared" si="14"/>
        <v>5.9165009940357835E-4</v>
      </c>
      <c r="P187" s="70">
        <f t="shared" si="15"/>
        <v>-3.3015904572564611E-3</v>
      </c>
      <c r="AI187" s="15">
        <v>41961</v>
      </c>
      <c r="AJ187" s="2">
        <v>114.02</v>
      </c>
      <c r="AK187" s="2">
        <v>47.77</v>
      </c>
      <c r="AL187" s="2">
        <v>158.24</v>
      </c>
      <c r="AM187" s="2">
        <v>96.833767602981297</v>
      </c>
      <c r="AN187" s="2">
        <v>50.601558169101367</v>
      </c>
    </row>
    <row r="188" spans="2:40" x14ac:dyDescent="0.35">
      <c r="B188" s="15">
        <v>41960</v>
      </c>
      <c r="C188" s="49" t="str">
        <f>$S$4</f>
        <v>AAPL</v>
      </c>
      <c r="D188" s="53">
        <f>CHOOSE($S$3,AJ188,AK188,AL188,AM188,AN188)</f>
        <v>112.56</v>
      </c>
      <c r="E188" s="55">
        <f t="shared" si="13"/>
        <v>-1.6865655766541345E-3</v>
      </c>
      <c r="F188" s="55">
        <f t="shared" si="16"/>
        <v>-1.6865655766541345E-3</v>
      </c>
      <c r="G188" s="70">
        <f t="shared" si="17"/>
        <v>-3.0015554195372118E-3</v>
      </c>
      <c r="H188" s="53"/>
      <c r="I188" s="15">
        <v>41960</v>
      </c>
      <c r="J188" s="55">
        <v>-5.0000000000000001E-4</v>
      </c>
      <c r="K188" s="55">
        <v>-9.7999999999999997E-3</v>
      </c>
      <c r="L188" s="55">
        <v>2.7000000000000001E-3</v>
      </c>
      <c r="M188" s="55">
        <v>0</v>
      </c>
      <c r="N188" s="70">
        <f t="shared" si="18"/>
        <v>-1.0091451292246526E-3</v>
      </c>
      <c r="O188" s="70">
        <f t="shared" si="14"/>
        <v>-9.7083499005964219E-3</v>
      </c>
      <c r="P188" s="70">
        <f t="shared" si="15"/>
        <v>2.998409542743539E-3</v>
      </c>
      <c r="AI188" s="15">
        <v>41960</v>
      </c>
      <c r="AJ188" s="2">
        <v>112.56</v>
      </c>
      <c r="AK188" s="2">
        <v>48.17</v>
      </c>
      <c r="AL188" s="2">
        <v>160.46</v>
      </c>
      <c r="AM188" s="2">
        <v>96.89305656849848</v>
      </c>
      <c r="AN188" s="2">
        <v>51.16836592366905</v>
      </c>
    </row>
    <row r="189" spans="2:40" x14ac:dyDescent="0.35">
      <c r="B189" s="15">
        <v>41957</v>
      </c>
      <c r="C189" s="49" t="str">
        <f>$S$4</f>
        <v>AAPL</v>
      </c>
      <c r="D189" s="53">
        <f>CHOOSE($S$3,AJ189,AK189,AL189,AM189,AN189)</f>
        <v>112.75</v>
      </c>
      <c r="E189" s="55">
        <f t="shared" si="13"/>
        <v>1.2045650889604033E-2</v>
      </c>
      <c r="F189" s="55">
        <f t="shared" si="16"/>
        <v>1.2045650889604033E-2</v>
      </c>
      <c r="G189" s="70">
        <f t="shared" si="17"/>
        <v>1.0730661046720956E-2</v>
      </c>
      <c r="H189" s="53"/>
      <c r="I189" s="15">
        <v>41957</v>
      </c>
      <c r="J189" s="55">
        <v>5.9999999999999995E-4</v>
      </c>
      <c r="K189" s="55">
        <v>-1.4000000000000002E-3</v>
      </c>
      <c r="L189" s="55">
        <v>1.4000000000000002E-3</v>
      </c>
      <c r="M189" s="55">
        <v>0</v>
      </c>
      <c r="N189" s="70">
        <f t="shared" si="18"/>
        <v>9.0854870775347357E-5</v>
      </c>
      <c r="O189" s="70">
        <f t="shared" si="14"/>
        <v>-1.308349900596422E-3</v>
      </c>
      <c r="P189" s="70">
        <f t="shared" si="15"/>
        <v>1.698409542743539E-3</v>
      </c>
      <c r="AI189" s="15">
        <v>41957</v>
      </c>
      <c r="AJ189" s="2">
        <v>112.75</v>
      </c>
      <c r="AK189" s="2">
        <v>48.29</v>
      </c>
      <c r="AL189" s="2">
        <v>160.46</v>
      </c>
      <c r="AM189" s="2">
        <v>96.974833757322287</v>
      </c>
      <c r="AN189" s="2">
        <v>51.232100653904062</v>
      </c>
    </row>
    <row r="190" spans="2:40" x14ac:dyDescent="0.35">
      <c r="B190" s="15">
        <v>41956</v>
      </c>
      <c r="C190" s="49" t="str">
        <f>$S$4</f>
        <v>AAPL</v>
      </c>
      <c r="D190" s="53">
        <f>CHOOSE($S$3,AJ190,AK190,AL190,AM190,AN190)</f>
        <v>111.4</v>
      </c>
      <c r="E190" s="55">
        <f t="shared" si="13"/>
        <v>1.4011528662564537E-2</v>
      </c>
      <c r="F190" s="55">
        <f t="shared" si="16"/>
        <v>1.4011528662564537E-2</v>
      </c>
      <c r="G190" s="70">
        <f t="shared" si="17"/>
        <v>1.269653881968146E-2</v>
      </c>
      <c r="H190" s="53"/>
      <c r="I190" s="15">
        <v>41956</v>
      </c>
      <c r="J190" s="55">
        <v>-2.9999999999999997E-4</v>
      </c>
      <c r="K190" s="55">
        <v>-9.1000000000000004E-3</v>
      </c>
      <c r="L190" s="55">
        <v>-3.3E-3</v>
      </c>
      <c r="M190" s="55">
        <v>0</v>
      </c>
      <c r="N190" s="70">
        <f t="shared" si="18"/>
        <v>-8.0914512922465251E-4</v>
      </c>
      <c r="O190" s="70">
        <f t="shared" si="14"/>
        <v>-9.0083499005964227E-3</v>
      </c>
      <c r="P190" s="70">
        <f t="shared" si="15"/>
        <v>-3.0015904572564612E-3</v>
      </c>
      <c r="AI190" s="15">
        <v>41956</v>
      </c>
      <c r="AJ190" s="2">
        <v>111.4</v>
      </c>
      <c r="AK190" s="2">
        <v>48.32</v>
      </c>
      <c r="AL190" s="2">
        <v>159.12</v>
      </c>
      <c r="AM190" s="2">
        <v>95.989356908429983</v>
      </c>
      <c r="AN190" s="2">
        <v>51.034095135765455</v>
      </c>
    </row>
    <row r="191" spans="2:40" x14ac:dyDescent="0.35">
      <c r="B191" s="15">
        <v>41955</v>
      </c>
      <c r="C191" s="49" t="str">
        <f>$S$4</f>
        <v>AAPL</v>
      </c>
      <c r="D191" s="53">
        <f>CHOOSE($S$3,AJ191,AK191,AL191,AM191,AN191)</f>
        <v>109.85</v>
      </c>
      <c r="E191" s="55">
        <f t="shared" si="13"/>
        <v>1.4025989666654354E-2</v>
      </c>
      <c r="F191" s="55">
        <f t="shared" si="16"/>
        <v>1.4025989666654354E-2</v>
      </c>
      <c r="G191" s="70">
        <f t="shared" si="17"/>
        <v>1.2710999823771277E-2</v>
      </c>
      <c r="H191" s="53"/>
      <c r="I191" s="15">
        <v>41955</v>
      </c>
      <c r="J191" s="55">
        <v>7.000000000000001E-4</v>
      </c>
      <c r="K191" s="55">
        <v>7.7000000000000002E-3</v>
      </c>
      <c r="L191" s="55">
        <v>-2.8000000000000004E-3</v>
      </c>
      <c r="M191" s="55">
        <v>0</v>
      </c>
      <c r="N191" s="70">
        <f t="shared" si="18"/>
        <v>1.9085487077534751E-4</v>
      </c>
      <c r="O191" s="70">
        <f t="shared" si="14"/>
        <v>7.7916500994035789E-3</v>
      </c>
      <c r="P191" s="70">
        <f t="shared" si="15"/>
        <v>-2.5015904572564616E-3</v>
      </c>
      <c r="AI191" s="15">
        <v>41955</v>
      </c>
      <c r="AJ191" s="2">
        <v>109.85</v>
      </c>
      <c r="AK191" s="2">
        <v>47.51</v>
      </c>
      <c r="AL191" s="2">
        <v>158.27000000000001</v>
      </c>
      <c r="AM191" s="2">
        <v>95.06518556737467</v>
      </c>
      <c r="AN191" s="2">
        <v>50.470037600077752</v>
      </c>
    </row>
    <row r="192" spans="2:40" x14ac:dyDescent="0.35">
      <c r="B192" s="15">
        <v>41954</v>
      </c>
      <c r="C192" s="49" t="str">
        <f>$S$4</f>
        <v>AAPL</v>
      </c>
      <c r="D192" s="53">
        <f>CHOOSE($S$3,AJ192,AK192,AL192,AM192,AN192)</f>
        <v>108.32</v>
      </c>
      <c r="E192" s="55">
        <f t="shared" si="13"/>
        <v>7.9711238632895146E-3</v>
      </c>
      <c r="F192" s="55">
        <f t="shared" si="16"/>
        <v>7.9711238632895146E-3</v>
      </c>
      <c r="G192" s="70">
        <f t="shared" si="17"/>
        <v>6.656134020406438E-3</v>
      </c>
      <c r="H192" s="53"/>
      <c r="I192" s="15">
        <v>41954</v>
      </c>
      <c r="J192" s="55">
        <v>1E-3</v>
      </c>
      <c r="K192" s="55">
        <v>2.0000000000000001E-4</v>
      </c>
      <c r="L192" s="55">
        <v>-2.8999999999999998E-3</v>
      </c>
      <c r="M192" s="55">
        <v>0</v>
      </c>
      <c r="N192" s="70">
        <f t="shared" si="18"/>
        <v>4.9085487077534743E-4</v>
      </c>
      <c r="O192" s="70">
        <f t="shared" si="14"/>
        <v>2.9165009940357832E-4</v>
      </c>
      <c r="P192" s="70">
        <f t="shared" si="15"/>
        <v>-2.601590457256461E-3</v>
      </c>
      <c r="AI192" s="15">
        <v>41954</v>
      </c>
      <c r="AJ192" s="2">
        <v>108.32</v>
      </c>
      <c r="AK192" s="2">
        <v>47.6</v>
      </c>
      <c r="AL192" s="2">
        <v>159.62</v>
      </c>
      <c r="AM192" s="2">
        <v>94.80858770659691</v>
      </c>
      <c r="AN192" s="2">
        <v>50.733089094359634</v>
      </c>
    </row>
    <row r="193" spans="2:40" x14ac:dyDescent="0.35">
      <c r="B193" s="15">
        <v>41953</v>
      </c>
      <c r="C193" s="49" t="str">
        <f>$S$4</f>
        <v>AAPL</v>
      </c>
      <c r="D193" s="53">
        <f>CHOOSE($S$3,AJ193,AK193,AL193,AM193,AN193)</f>
        <v>107.46</v>
      </c>
      <c r="E193" s="55">
        <f t="shared" si="13"/>
        <v>-1.6736405580297597E-3</v>
      </c>
      <c r="F193" s="55">
        <f t="shared" si="16"/>
        <v>-1.6736405580297597E-3</v>
      </c>
      <c r="G193" s="70">
        <f t="shared" si="17"/>
        <v>-2.9886304009128367E-3</v>
      </c>
      <c r="H193" s="53"/>
      <c r="I193" s="15">
        <v>41953</v>
      </c>
      <c r="J193" s="55">
        <v>3.3E-3</v>
      </c>
      <c r="K193" s="55">
        <v>1.9E-3</v>
      </c>
      <c r="L193" s="55">
        <v>-5.0000000000000001E-3</v>
      </c>
      <c r="M193" s="55">
        <v>0</v>
      </c>
      <c r="N193" s="70">
        <f t="shared" si="18"/>
        <v>2.7908548707753474E-3</v>
      </c>
      <c r="O193" s="70">
        <f t="shared" si="14"/>
        <v>1.9916500994035784E-3</v>
      </c>
      <c r="P193" s="70">
        <f t="shared" si="15"/>
        <v>-4.7015904572564613E-3</v>
      </c>
      <c r="AI193" s="15">
        <v>41953</v>
      </c>
      <c r="AJ193" s="2">
        <v>107.46</v>
      </c>
      <c r="AK193" s="2">
        <v>47.61</v>
      </c>
      <c r="AL193" s="2">
        <v>159.81</v>
      </c>
      <c r="AM193" s="2">
        <v>94.488650833579527</v>
      </c>
      <c r="AN193" s="2">
        <v>50.76861268390514</v>
      </c>
    </row>
    <row r="194" spans="2:40" x14ac:dyDescent="0.35">
      <c r="B194" s="15">
        <v>41950</v>
      </c>
      <c r="C194" s="49" t="str">
        <f>$S$4</f>
        <v>AAPL</v>
      </c>
      <c r="D194" s="53">
        <f>CHOOSE($S$3,AJ194,AK194,AL194,AM194,AN194)</f>
        <v>107.64</v>
      </c>
      <c r="E194" s="55">
        <f t="shared" si="13"/>
        <v>2.790959110022217E-3</v>
      </c>
      <c r="F194" s="55">
        <f t="shared" si="16"/>
        <v>2.790959110022217E-3</v>
      </c>
      <c r="G194" s="70">
        <f t="shared" si="17"/>
        <v>1.47596926713914E-3</v>
      </c>
      <c r="H194" s="53"/>
      <c r="I194" s="15">
        <v>41950</v>
      </c>
      <c r="J194" s="55">
        <v>8.9999999999999998E-4</v>
      </c>
      <c r="K194" s="55">
        <v>2.0000000000000001E-4</v>
      </c>
      <c r="L194" s="55">
        <v>4.4000000000000003E-3</v>
      </c>
      <c r="M194" s="55">
        <v>0</v>
      </c>
      <c r="N194" s="70">
        <f t="shared" si="18"/>
        <v>3.9085487077534739E-4</v>
      </c>
      <c r="O194" s="70">
        <f t="shared" si="14"/>
        <v>2.9165009940357832E-4</v>
      </c>
      <c r="P194" s="70">
        <f t="shared" si="15"/>
        <v>4.6984095427435391E-3</v>
      </c>
      <c r="AI194" s="15">
        <v>41950</v>
      </c>
      <c r="AJ194" s="2">
        <v>107.64</v>
      </c>
      <c r="AK194" s="2">
        <v>47.41</v>
      </c>
      <c r="AL194" s="2">
        <v>158.41999999999999</v>
      </c>
      <c r="AM194" s="2">
        <v>94.156864008880163</v>
      </c>
      <c r="AN194" s="2">
        <v>50.441189989234601</v>
      </c>
    </row>
    <row r="195" spans="2:40" x14ac:dyDescent="0.35">
      <c r="B195" s="15">
        <v>41949</v>
      </c>
      <c r="C195" s="49" t="str">
        <f>$S$4</f>
        <v>AAPL</v>
      </c>
      <c r="D195" s="53">
        <f>CHOOSE($S$3,AJ195,AK195,AL195,AM195,AN195)</f>
        <v>107.34</v>
      </c>
      <c r="E195" s="55">
        <f t="shared" si="13"/>
        <v>2.8921977523986343E-3</v>
      </c>
      <c r="F195" s="55">
        <f t="shared" si="16"/>
        <v>2.8921977523986343E-3</v>
      </c>
      <c r="G195" s="70">
        <f t="shared" si="17"/>
        <v>1.5772079095155572E-3</v>
      </c>
      <c r="H195" s="53"/>
      <c r="I195" s="15">
        <v>41949</v>
      </c>
      <c r="J195" s="55">
        <v>4.8999999999999998E-3</v>
      </c>
      <c r="K195" s="55">
        <v>8.9999999999999998E-4</v>
      </c>
      <c r="L195" s="55">
        <v>-4.7999999999999996E-3</v>
      </c>
      <c r="M195" s="55">
        <v>0</v>
      </c>
      <c r="N195" s="70">
        <f t="shared" si="18"/>
        <v>4.3908548707753473E-3</v>
      </c>
      <c r="O195" s="70">
        <f t="shared" si="14"/>
        <v>9.916500994035782E-4</v>
      </c>
      <c r="P195" s="70">
        <f t="shared" si="15"/>
        <v>-4.5015904572564608E-3</v>
      </c>
      <c r="AI195" s="15">
        <v>41949</v>
      </c>
      <c r="AJ195" s="2">
        <v>107.34</v>
      </c>
      <c r="AK195" s="2">
        <v>47.43</v>
      </c>
      <c r="AL195" s="2">
        <v>157.82</v>
      </c>
      <c r="AM195" s="2">
        <v>93.847348336626794</v>
      </c>
      <c r="AN195" s="2">
        <v>50.356308849779047</v>
      </c>
    </row>
    <row r="196" spans="2:40" x14ac:dyDescent="0.35">
      <c r="B196" s="15">
        <v>41948</v>
      </c>
      <c r="C196" s="49" t="str">
        <f>$S$4</f>
        <v>AAPL</v>
      </c>
      <c r="D196" s="53">
        <f>CHOOSE($S$3,AJ196,AK196,AL196,AM196,AN196)</f>
        <v>107.03</v>
      </c>
      <c r="E196" s="55">
        <f t="shared" si="13"/>
        <v>2.4321808060731817E-3</v>
      </c>
      <c r="F196" s="55">
        <f t="shared" si="16"/>
        <v>2.4321808060731817E-3</v>
      </c>
      <c r="G196" s="70">
        <f t="shared" si="17"/>
        <v>1.1171909631901046E-3</v>
      </c>
      <c r="H196" s="53"/>
      <c r="I196" s="15">
        <v>41948</v>
      </c>
      <c r="J196" s="55">
        <v>4.7999999999999996E-3</v>
      </c>
      <c r="K196" s="55">
        <v>-5.3E-3</v>
      </c>
      <c r="L196" s="55">
        <v>8.6E-3</v>
      </c>
      <c r="M196" s="55">
        <v>0</v>
      </c>
      <c r="N196" s="70">
        <f t="shared" si="18"/>
        <v>4.290854870775347E-3</v>
      </c>
      <c r="O196" s="70">
        <f t="shared" si="14"/>
        <v>-5.2083499005964214E-3</v>
      </c>
      <c r="P196" s="70">
        <f t="shared" si="15"/>
        <v>8.8984095427435388E-3</v>
      </c>
      <c r="AI196" s="15">
        <v>41948</v>
      </c>
      <c r="AJ196" s="2">
        <v>107.03</v>
      </c>
      <c r="AK196" s="2">
        <v>46.61</v>
      </c>
      <c r="AL196" s="2">
        <v>157.1</v>
      </c>
      <c r="AM196" s="2">
        <v>93.497758574129065</v>
      </c>
      <c r="AN196" s="2">
        <v>49.806146151243126</v>
      </c>
    </row>
    <row r="197" spans="2:40" x14ac:dyDescent="0.35">
      <c r="B197" s="15">
        <v>41947</v>
      </c>
      <c r="C197" s="49" t="str">
        <f>$S$4</f>
        <v>AAPL</v>
      </c>
      <c r="D197" s="53">
        <f>CHOOSE($S$3,AJ197,AK197,AL197,AM197,AN197)</f>
        <v>106.77</v>
      </c>
      <c r="E197" s="55">
        <f t="shared" si="13"/>
        <v>-7.3718432104530034E-3</v>
      </c>
      <c r="F197" s="55">
        <f t="shared" si="16"/>
        <v>-7.3718432104530034E-3</v>
      </c>
      <c r="G197" s="70">
        <f t="shared" si="17"/>
        <v>-8.6868330533360801E-3</v>
      </c>
      <c r="H197" s="53"/>
      <c r="I197" s="15">
        <v>41947</v>
      </c>
      <c r="J197" s="55">
        <v>-3.4999999999999996E-3</v>
      </c>
      <c r="K197" s="55">
        <v>-4.0000000000000002E-4</v>
      </c>
      <c r="L197" s="55">
        <v>-1.1000000000000001E-3</v>
      </c>
      <c r="M197" s="55">
        <v>0</v>
      </c>
      <c r="N197" s="70">
        <f t="shared" si="18"/>
        <v>-4.0091451292246522E-3</v>
      </c>
      <c r="O197" s="70">
        <f t="shared" si="14"/>
        <v>-3.0834990059642174E-4</v>
      </c>
      <c r="P197" s="70">
        <f t="shared" si="15"/>
        <v>-8.0159045725646124E-4</v>
      </c>
      <c r="AI197" s="15">
        <v>41947</v>
      </c>
      <c r="AJ197" s="2">
        <v>106.77</v>
      </c>
      <c r="AK197" s="2">
        <v>46.33</v>
      </c>
      <c r="AL197" s="2">
        <v>157.9</v>
      </c>
      <c r="AM197" s="2">
        <v>93.622254226562248</v>
      </c>
      <c r="AN197" s="2">
        <v>49.783359922242589</v>
      </c>
    </row>
    <row r="198" spans="2:40" x14ac:dyDescent="0.35">
      <c r="B198" s="15">
        <v>41946</v>
      </c>
      <c r="C198" s="49" t="str">
        <f>$S$4</f>
        <v>AAPL</v>
      </c>
      <c r="D198" s="53">
        <f>CHOOSE($S$3,AJ198,AK198,AL198,AM198,AN198)</f>
        <v>107.56</v>
      </c>
      <c r="E198" s="55">
        <f t="shared" si="13"/>
        <v>1.2913064245138548E-2</v>
      </c>
      <c r="F198" s="55">
        <f t="shared" si="16"/>
        <v>1.2913064245138548E-2</v>
      </c>
      <c r="G198" s="70">
        <f t="shared" si="17"/>
        <v>1.1598074402255472E-2</v>
      </c>
      <c r="H198" s="53"/>
      <c r="I198" s="15">
        <v>41946</v>
      </c>
      <c r="J198" s="55">
        <v>-1E-4</v>
      </c>
      <c r="K198" s="55">
        <v>-2.5999999999999999E-3</v>
      </c>
      <c r="L198" s="55">
        <v>-5.9999999999999995E-4</v>
      </c>
      <c r="M198" s="55">
        <v>0</v>
      </c>
      <c r="N198" s="70">
        <f t="shared" si="18"/>
        <v>-6.0914512922465264E-4</v>
      </c>
      <c r="O198" s="70">
        <f t="shared" si="14"/>
        <v>-2.5083499005964217E-3</v>
      </c>
      <c r="P198" s="70">
        <f t="shared" si="15"/>
        <v>-3.0159045725646112E-4</v>
      </c>
      <c r="AI198" s="15">
        <v>41946</v>
      </c>
      <c r="AJ198" s="2">
        <v>107.56</v>
      </c>
      <c r="AK198" s="2">
        <v>46.2</v>
      </c>
      <c r="AL198" s="2">
        <v>159.56</v>
      </c>
      <c r="AM198" s="2">
        <v>94.46073817999924</v>
      </c>
      <c r="AN198" s="2">
        <v>49.975200737862338</v>
      </c>
    </row>
    <row r="199" spans="2:40" x14ac:dyDescent="0.35">
      <c r="B199" s="15">
        <v>41943</v>
      </c>
      <c r="C199" s="49" t="str">
        <f>$S$4</f>
        <v>AAPL</v>
      </c>
      <c r="D199" s="53">
        <f>CHOOSE($S$3,AJ199,AK199,AL199,AM199,AN199)</f>
        <v>106.18</v>
      </c>
      <c r="E199" s="55">
        <f t="shared" si="13"/>
        <v>9.4625989943272742E-3</v>
      </c>
      <c r="F199" s="55">
        <f t="shared" si="16"/>
        <v>9.4625989943272742E-3</v>
      </c>
      <c r="G199" s="70">
        <f t="shared" si="17"/>
        <v>8.1476091514441976E-3</v>
      </c>
      <c r="H199" s="53"/>
      <c r="I199" s="15">
        <v>41943</v>
      </c>
      <c r="J199" s="55">
        <v>1.23E-2</v>
      </c>
      <c r="K199" s="55">
        <v>2.8999999999999998E-3</v>
      </c>
      <c r="L199" s="55">
        <v>1.9E-3</v>
      </c>
      <c r="M199" s="55">
        <v>0</v>
      </c>
      <c r="N199" s="70">
        <f t="shared" si="18"/>
        <v>1.1790854870775348E-2</v>
      </c>
      <c r="O199" s="70">
        <f t="shared" si="14"/>
        <v>2.991650099403578E-3</v>
      </c>
      <c r="P199" s="70">
        <f t="shared" si="15"/>
        <v>2.1984095427435386E-3</v>
      </c>
      <c r="AI199" s="15">
        <v>41943</v>
      </c>
      <c r="AJ199" s="2">
        <v>106.18</v>
      </c>
      <c r="AK199" s="2">
        <v>45.73</v>
      </c>
      <c r="AL199" s="2">
        <v>159.6</v>
      </c>
      <c r="AM199" s="2">
        <v>93.866610413909569</v>
      </c>
      <c r="AN199" s="2">
        <v>49.727262003406224</v>
      </c>
    </row>
    <row r="200" spans="2:40" x14ac:dyDescent="0.35">
      <c r="B200" s="15">
        <v>41942</v>
      </c>
      <c r="C200" s="49" t="str">
        <f>$S$4</f>
        <v>AAPL</v>
      </c>
      <c r="D200" s="53">
        <f>CHOOSE($S$3,AJ200,AK200,AL200,AM200,AN200)</f>
        <v>105.18</v>
      </c>
      <c r="E200" s="55">
        <f t="shared" si="13"/>
        <v>-3.4168598163236809E-3</v>
      </c>
      <c r="F200" s="55">
        <f t="shared" si="16"/>
        <v>-3.4168598163236809E-3</v>
      </c>
      <c r="G200" s="70">
        <f t="shared" si="17"/>
        <v>-4.7318496592067584E-3</v>
      </c>
      <c r="H200" s="53"/>
      <c r="I200" s="15">
        <v>41942</v>
      </c>
      <c r="J200" s="55">
        <v>6.0000000000000001E-3</v>
      </c>
      <c r="K200" s="55">
        <v>2.7000000000000001E-3</v>
      </c>
      <c r="L200" s="55">
        <v>-4.7999999999999996E-3</v>
      </c>
      <c r="M200" s="55">
        <v>0</v>
      </c>
      <c r="N200" s="70">
        <f t="shared" si="18"/>
        <v>5.4908548707753475E-3</v>
      </c>
      <c r="O200" s="70">
        <f t="shared" si="14"/>
        <v>2.7916500994035784E-3</v>
      </c>
      <c r="P200" s="70">
        <f t="shared" si="15"/>
        <v>-4.5015904572564608E-3</v>
      </c>
      <c r="AI200" s="15">
        <v>41942</v>
      </c>
      <c r="AJ200" s="2">
        <v>105.18</v>
      </c>
      <c r="AK200" s="2">
        <v>44.85</v>
      </c>
      <c r="AL200" s="2">
        <v>159.55000000000001</v>
      </c>
      <c r="AM200" s="2">
        <v>93.40989056118552</v>
      </c>
      <c r="AN200" s="2">
        <v>49.241012219311642</v>
      </c>
    </row>
    <row r="201" spans="2:40" x14ac:dyDescent="0.35">
      <c r="B201" s="15">
        <v>41941</v>
      </c>
      <c r="C201" s="49" t="str">
        <f>$S$4</f>
        <v>AAPL</v>
      </c>
      <c r="D201" s="53">
        <f>CHOOSE($S$3,AJ201,AK201,AL201,AM201,AN201)</f>
        <v>105.54</v>
      </c>
      <c r="E201" s="55">
        <f t="shared" si="13"/>
        <v>5.6059817108798397E-3</v>
      </c>
      <c r="F201" s="55">
        <f t="shared" si="16"/>
        <v>5.6059817108798397E-3</v>
      </c>
      <c r="G201" s="70">
        <f t="shared" si="17"/>
        <v>4.2909918679967622E-3</v>
      </c>
      <c r="H201" s="53"/>
      <c r="I201" s="15">
        <v>41941</v>
      </c>
      <c r="J201" s="55">
        <v>-1.8E-3</v>
      </c>
      <c r="K201" s="55">
        <v>-2.0000000000000001E-4</v>
      </c>
      <c r="L201" s="55">
        <v>4.4000000000000003E-3</v>
      </c>
      <c r="M201" s="55">
        <v>0</v>
      </c>
      <c r="N201" s="70">
        <f t="shared" si="18"/>
        <v>-2.3091451292246525E-3</v>
      </c>
      <c r="O201" s="70">
        <f t="shared" si="14"/>
        <v>-1.083499005964217E-4</v>
      </c>
      <c r="P201" s="70">
        <f t="shared" si="15"/>
        <v>4.6984095427435391E-3</v>
      </c>
      <c r="AI201" s="15">
        <v>41941</v>
      </c>
      <c r="AJ201" s="2">
        <v>105.54</v>
      </c>
      <c r="AK201" s="2">
        <v>45.4</v>
      </c>
      <c r="AL201" s="2">
        <v>158.69</v>
      </c>
      <c r="AM201" s="2">
        <v>93.318000641575949</v>
      </c>
      <c r="AN201" s="2">
        <v>49.410227465680343</v>
      </c>
    </row>
    <row r="202" spans="2:40" x14ac:dyDescent="0.35">
      <c r="B202" s="15">
        <v>41940</v>
      </c>
      <c r="C202" s="49" t="str">
        <f>$S$4</f>
        <v>AAPL</v>
      </c>
      <c r="D202" s="53">
        <f>CHOOSE($S$3,AJ202,AK202,AL202,AM202,AN202)</f>
        <v>104.95</v>
      </c>
      <c r="E202" s="55">
        <f t="shared" si="13"/>
        <v>1.5459523407603343E-2</v>
      </c>
      <c r="F202" s="55">
        <f t="shared" si="16"/>
        <v>1.5459523407603343E-2</v>
      </c>
      <c r="G202" s="70">
        <f t="shared" si="17"/>
        <v>1.4144533564720266E-2</v>
      </c>
      <c r="H202" s="53"/>
      <c r="I202" s="15">
        <v>41940</v>
      </c>
      <c r="J202" s="55">
        <v>1.37E-2</v>
      </c>
      <c r="K202" s="55">
        <v>1.5800000000000002E-2</v>
      </c>
      <c r="L202" s="55">
        <v>-1E-4</v>
      </c>
      <c r="M202" s="55">
        <v>0</v>
      </c>
      <c r="N202" s="70">
        <f t="shared" si="18"/>
        <v>1.3190854870775348E-2</v>
      </c>
      <c r="O202" s="70">
        <f t="shared" si="14"/>
        <v>1.5891650099403579E-2</v>
      </c>
      <c r="P202" s="70">
        <f t="shared" si="15"/>
        <v>1.9840954274353884E-4</v>
      </c>
      <c r="AI202" s="15">
        <v>41940</v>
      </c>
      <c r="AJ202" s="2">
        <v>104.95</v>
      </c>
      <c r="AK202" s="2">
        <v>45.28</v>
      </c>
      <c r="AL202" s="2">
        <v>158.83000000000001</v>
      </c>
      <c r="AM202" s="2">
        <v>93.098326600599336</v>
      </c>
      <c r="AN202" s="2">
        <v>49.366723030148322</v>
      </c>
    </row>
    <row r="203" spans="2:40" x14ac:dyDescent="0.35">
      <c r="B203" s="15">
        <v>41939</v>
      </c>
      <c r="C203" s="49" t="str">
        <f>$S$4</f>
        <v>AAPL</v>
      </c>
      <c r="D203" s="53">
        <f>CHOOSE($S$3,AJ203,AK203,AL203,AM203,AN203)</f>
        <v>103.34</v>
      </c>
      <c r="E203" s="55">
        <f t="shared" si="13"/>
        <v>-1.0638813325134988E-3</v>
      </c>
      <c r="F203" s="55">
        <f t="shared" si="16"/>
        <v>-1.0638813325134988E-3</v>
      </c>
      <c r="G203" s="70">
        <f t="shared" si="17"/>
        <v>-2.378871175396576E-3</v>
      </c>
      <c r="H203" s="53"/>
      <c r="I203" s="15">
        <v>41939</v>
      </c>
      <c r="J203" s="55">
        <v>-1.7000000000000001E-3</v>
      </c>
      <c r="K203" s="55">
        <v>1E-3</v>
      </c>
      <c r="L203" s="55">
        <v>-2.5999999999999999E-3</v>
      </c>
      <c r="M203" s="55">
        <v>0</v>
      </c>
      <c r="N203" s="70">
        <f t="shared" si="18"/>
        <v>-2.2091451292246527E-3</v>
      </c>
      <c r="O203" s="70">
        <f t="shared" si="14"/>
        <v>1.0916500994035782E-3</v>
      </c>
      <c r="P203" s="70">
        <f t="shared" si="15"/>
        <v>-2.3015904572564611E-3</v>
      </c>
      <c r="AI203" s="15">
        <v>41939</v>
      </c>
      <c r="AJ203" s="2">
        <v>103.34</v>
      </c>
      <c r="AK203" s="2">
        <v>44.71</v>
      </c>
      <c r="AL203" s="2">
        <v>157.15</v>
      </c>
      <c r="AM203" s="2">
        <v>91.891866072872162</v>
      </c>
      <c r="AN203" s="2">
        <v>48.794916026102079</v>
      </c>
    </row>
    <row r="204" spans="2:40" x14ac:dyDescent="0.35">
      <c r="B204" s="15">
        <v>41936</v>
      </c>
      <c r="C204" s="49" t="str">
        <f>$S$4</f>
        <v>AAPL</v>
      </c>
      <c r="D204" s="53">
        <f>CHOOSE($S$3,AJ204,AK204,AL204,AM204,AN204)</f>
        <v>103.45</v>
      </c>
      <c r="E204" s="55">
        <f t="shared" ref="E204:E267" si="19">LN(D204/D205)</f>
        <v>3.6800351428507567E-3</v>
      </c>
      <c r="F204" s="55">
        <f t="shared" si="16"/>
        <v>3.6800351428507567E-3</v>
      </c>
      <c r="G204" s="70">
        <f t="shared" si="17"/>
        <v>2.3650452999676797E-3</v>
      </c>
      <c r="H204" s="53"/>
      <c r="I204" s="15">
        <v>41936</v>
      </c>
      <c r="J204" s="55">
        <v>6.6E-3</v>
      </c>
      <c r="K204" s="55">
        <v>-4.5999999999999999E-3</v>
      </c>
      <c r="L204" s="55">
        <v>-1.1000000000000001E-3</v>
      </c>
      <c r="M204" s="55">
        <v>0</v>
      </c>
      <c r="N204" s="70">
        <f t="shared" si="18"/>
        <v>6.0908548707753474E-3</v>
      </c>
      <c r="O204" s="70">
        <f t="shared" ref="O204:O267" si="20">K204-K$10</f>
        <v>-4.5083499005964213E-3</v>
      </c>
      <c r="P204" s="70">
        <f t="shared" ref="P204:P267" si="21">L204-L$10</f>
        <v>-8.0159045725646124E-4</v>
      </c>
      <c r="AI204" s="15">
        <v>41936</v>
      </c>
      <c r="AJ204" s="2">
        <v>103.45</v>
      </c>
      <c r="AK204" s="2">
        <v>44.93</v>
      </c>
      <c r="AL204" s="2">
        <v>157.35</v>
      </c>
      <c r="AM204" s="2">
        <v>91.999247088498535</v>
      </c>
      <c r="AN204" s="2">
        <v>48.946016042652744</v>
      </c>
    </row>
    <row r="205" spans="2:40" x14ac:dyDescent="0.35">
      <c r="B205" s="15">
        <v>41935</v>
      </c>
      <c r="C205" s="49" t="str">
        <f>$S$4</f>
        <v>AAPL</v>
      </c>
      <c r="D205" s="53">
        <f>CHOOSE($S$3,AJ205,AK205,AL205,AM205,AN205)</f>
        <v>103.07</v>
      </c>
      <c r="E205" s="55">
        <f t="shared" si="19"/>
        <v>1.7716902506938231E-2</v>
      </c>
      <c r="F205" s="55">
        <f t="shared" ref="F205:F268" si="22">E205-M205</f>
        <v>1.7716902506938231E-2</v>
      </c>
      <c r="G205" s="70">
        <f t="shared" ref="G205:G268" si="23">F205-$F$10</f>
        <v>1.6401912664055152E-2</v>
      </c>
      <c r="H205" s="53"/>
      <c r="I205" s="15">
        <v>41935</v>
      </c>
      <c r="J205" s="55">
        <v>1.29E-2</v>
      </c>
      <c r="K205" s="55">
        <v>5.1999999999999998E-3</v>
      </c>
      <c r="L205" s="55">
        <v>-4.5999999999999999E-3</v>
      </c>
      <c r="M205" s="55">
        <v>0</v>
      </c>
      <c r="N205" s="70">
        <f t="shared" ref="N205:N268" si="24">J205-J$10</f>
        <v>1.2390854870775347E-2</v>
      </c>
      <c r="O205" s="70">
        <f t="shared" si="20"/>
        <v>5.2916500994035784E-3</v>
      </c>
      <c r="P205" s="70">
        <f t="shared" si="21"/>
        <v>-4.3015904572564611E-3</v>
      </c>
      <c r="AI205" s="15">
        <v>41935</v>
      </c>
      <c r="AJ205" s="2">
        <v>103.07</v>
      </c>
      <c r="AK205" s="2">
        <v>43.85</v>
      </c>
      <c r="AL205" s="2">
        <v>157.44999999999999</v>
      </c>
      <c r="AM205" s="2">
        <v>91.859511906210813</v>
      </c>
      <c r="AN205" s="2">
        <v>48.373301998104921</v>
      </c>
    </row>
    <row r="206" spans="2:40" x14ac:dyDescent="0.35">
      <c r="B206" s="15">
        <v>41934</v>
      </c>
      <c r="C206" s="49" t="str">
        <f>$S$4</f>
        <v>AAPL</v>
      </c>
      <c r="D206" s="53">
        <f>CHOOSE($S$3,AJ206,AK206,AL206,AM206,AN206)</f>
        <v>101.26</v>
      </c>
      <c r="E206" s="55">
        <f t="shared" si="19"/>
        <v>5.0492657149707586E-3</v>
      </c>
      <c r="F206" s="55">
        <f t="shared" si="22"/>
        <v>5.0492657149707586E-3</v>
      </c>
      <c r="G206" s="70">
        <f t="shared" si="23"/>
        <v>3.7342758720876816E-3</v>
      </c>
      <c r="H206" s="53"/>
      <c r="I206" s="15">
        <v>41934</v>
      </c>
      <c r="J206" s="55">
        <v>-8.5000000000000006E-3</v>
      </c>
      <c r="K206" s="55">
        <v>-5.6999999999999993E-3</v>
      </c>
      <c r="L206" s="55">
        <v>2.0999999999999999E-3</v>
      </c>
      <c r="M206" s="55">
        <v>0</v>
      </c>
      <c r="N206" s="70">
        <f t="shared" si="24"/>
        <v>-9.0091451292246532E-3</v>
      </c>
      <c r="O206" s="70">
        <f t="shared" si="20"/>
        <v>-5.6083499005964207E-3</v>
      </c>
      <c r="P206" s="70">
        <f t="shared" si="21"/>
        <v>2.3984095427435387E-3</v>
      </c>
      <c r="AI206" s="15">
        <v>41934</v>
      </c>
      <c r="AJ206" s="2">
        <v>101.26</v>
      </c>
      <c r="AK206" s="2">
        <v>43.22</v>
      </c>
      <c r="AL206" s="2">
        <v>157.07</v>
      </c>
      <c r="AM206" s="2">
        <v>90.942095089931342</v>
      </c>
      <c r="AN206" s="2">
        <v>47.967434868800083</v>
      </c>
    </row>
    <row r="207" spans="2:40" x14ac:dyDescent="0.35">
      <c r="B207" s="15">
        <v>41933</v>
      </c>
      <c r="C207" s="49" t="str">
        <f>$S$4</f>
        <v>AAPL</v>
      </c>
      <c r="D207" s="53">
        <f>CHOOSE($S$3,AJ207,AK207,AL207,AM207,AN207)</f>
        <v>100.75</v>
      </c>
      <c r="E207" s="55">
        <f t="shared" si="19"/>
        <v>2.6858728638891043E-2</v>
      </c>
      <c r="F207" s="55">
        <f t="shared" si="22"/>
        <v>2.6858728638891043E-2</v>
      </c>
      <c r="G207" s="70">
        <f t="shared" si="23"/>
        <v>2.5543738796007964E-2</v>
      </c>
      <c r="H207" s="53"/>
      <c r="I207" s="15">
        <v>41933</v>
      </c>
      <c r="J207" s="55">
        <v>1.9799999999999998E-2</v>
      </c>
      <c r="K207" s="55">
        <v>-4.0999999999999995E-3</v>
      </c>
      <c r="L207" s="55">
        <v>2.0000000000000001E-4</v>
      </c>
      <c r="M207" s="55">
        <v>0</v>
      </c>
      <c r="N207" s="70">
        <f t="shared" si="24"/>
        <v>1.9290854870775344E-2</v>
      </c>
      <c r="O207" s="70">
        <f t="shared" si="20"/>
        <v>-4.0083499005964208E-3</v>
      </c>
      <c r="P207" s="70">
        <f t="shared" si="21"/>
        <v>4.9840954274353881E-4</v>
      </c>
      <c r="AI207" s="15">
        <v>41933</v>
      </c>
      <c r="AJ207" s="2">
        <v>100.75</v>
      </c>
      <c r="AK207" s="2">
        <v>43.71</v>
      </c>
      <c r="AL207" s="2">
        <v>158.47</v>
      </c>
      <c r="AM207" s="2">
        <v>91.118371963433944</v>
      </c>
      <c r="AN207" s="2">
        <v>48.453118751031973</v>
      </c>
    </row>
    <row r="208" spans="2:40" x14ac:dyDescent="0.35">
      <c r="B208" s="15">
        <v>41932</v>
      </c>
      <c r="C208" s="49" t="str">
        <f>$S$4</f>
        <v>AAPL</v>
      </c>
      <c r="D208" s="53">
        <f>CHOOSE($S$3,AJ208,AK208,AL208,AM208,AN208)</f>
        <v>98.08</v>
      </c>
      <c r="E208" s="55">
        <f t="shared" si="19"/>
        <v>2.1122829538019795E-2</v>
      </c>
      <c r="F208" s="55">
        <f t="shared" si="22"/>
        <v>2.1122829538019795E-2</v>
      </c>
      <c r="G208" s="70">
        <f t="shared" si="23"/>
        <v>1.9807839695136716E-2</v>
      </c>
      <c r="H208" s="53"/>
      <c r="I208" s="15">
        <v>41932</v>
      </c>
      <c r="J208" s="55">
        <v>9.3999999999999986E-3</v>
      </c>
      <c r="K208" s="55">
        <v>2E-3</v>
      </c>
      <c r="L208" s="55">
        <v>-3.3E-3</v>
      </c>
      <c r="M208" s="55">
        <v>0</v>
      </c>
      <c r="N208" s="70">
        <f t="shared" si="24"/>
        <v>8.890854870775346E-3</v>
      </c>
      <c r="O208" s="70">
        <f t="shared" si="20"/>
        <v>2.0916500994035783E-3</v>
      </c>
      <c r="P208" s="70">
        <f t="shared" si="21"/>
        <v>-3.0015904572564612E-3</v>
      </c>
      <c r="AI208" s="15">
        <v>41932</v>
      </c>
      <c r="AJ208" s="2">
        <v>98.08</v>
      </c>
      <c r="AK208" s="2">
        <v>42.93</v>
      </c>
      <c r="AL208" s="2">
        <v>164.17</v>
      </c>
      <c r="AM208" s="2">
        <v>91.549713234369207</v>
      </c>
      <c r="AN208" s="2">
        <v>48.892202520841643</v>
      </c>
    </row>
    <row r="209" spans="2:40" x14ac:dyDescent="0.35">
      <c r="B209" s="15">
        <v>41929</v>
      </c>
      <c r="C209" s="49" t="str">
        <f>$S$4</f>
        <v>AAPL</v>
      </c>
      <c r="D209" s="53">
        <f>CHOOSE($S$3,AJ209,AK209,AL209,AM209,AN209)</f>
        <v>96.03</v>
      </c>
      <c r="E209" s="55">
        <f t="shared" si="19"/>
        <v>1.4580422979749942E-2</v>
      </c>
      <c r="F209" s="55">
        <f t="shared" si="22"/>
        <v>1.4580422979749942E-2</v>
      </c>
      <c r="G209" s="70">
        <f t="shared" si="23"/>
        <v>1.3265433136866865E-2</v>
      </c>
      <c r="H209" s="53"/>
      <c r="I209" s="15">
        <v>41929</v>
      </c>
      <c r="J209" s="55">
        <v>1.1399999999999999E-2</v>
      </c>
      <c r="K209" s="55">
        <v>-1.5600000000000001E-2</v>
      </c>
      <c r="L209" s="55">
        <v>-1E-3</v>
      </c>
      <c r="M209" s="55">
        <v>0</v>
      </c>
      <c r="N209" s="70">
        <f t="shared" si="24"/>
        <v>1.0890854870775346E-2</v>
      </c>
      <c r="O209" s="70">
        <f t="shared" si="20"/>
        <v>-1.5508349900596423E-2</v>
      </c>
      <c r="P209" s="70">
        <f t="shared" si="21"/>
        <v>-7.0159045725646119E-4</v>
      </c>
      <c r="AI209" s="15">
        <v>41929</v>
      </c>
      <c r="AJ209" s="2">
        <v>96.03</v>
      </c>
      <c r="AK209" s="2">
        <v>42.49</v>
      </c>
      <c r="AL209" s="2">
        <v>176.74</v>
      </c>
      <c r="AM209" s="2">
        <v>94.097801214830639</v>
      </c>
      <c r="AN209" s="2">
        <v>50.513412471258043</v>
      </c>
    </row>
    <row r="210" spans="2:40" x14ac:dyDescent="0.35">
      <c r="B210" s="15">
        <v>41928</v>
      </c>
      <c r="C210" s="49" t="str">
        <f>$S$4</f>
        <v>AAPL</v>
      </c>
      <c r="D210" s="53">
        <f>CHOOSE($S$3,AJ210,AK210,AL210,AM210,AN210)</f>
        <v>94.64</v>
      </c>
      <c r="E210" s="55">
        <f t="shared" si="19"/>
        <v>-1.322576221926125E-2</v>
      </c>
      <c r="F210" s="55">
        <f t="shared" si="22"/>
        <v>-1.322576221926125E-2</v>
      </c>
      <c r="G210" s="70">
        <f t="shared" si="23"/>
        <v>-1.4540752062144327E-2</v>
      </c>
      <c r="H210" s="53"/>
      <c r="I210" s="15">
        <v>41928</v>
      </c>
      <c r="J210" s="55">
        <v>2.3E-3</v>
      </c>
      <c r="K210" s="55">
        <v>1.0800000000000001E-2</v>
      </c>
      <c r="L210" s="55">
        <v>1.7000000000000001E-3</v>
      </c>
      <c r="M210" s="55">
        <v>0</v>
      </c>
      <c r="N210" s="70">
        <f t="shared" si="24"/>
        <v>1.7908548707753474E-3</v>
      </c>
      <c r="O210" s="70">
        <f t="shared" si="20"/>
        <v>1.0891650099403578E-2</v>
      </c>
      <c r="P210" s="70">
        <f t="shared" si="21"/>
        <v>1.9984095427435389E-3</v>
      </c>
      <c r="AI210" s="15">
        <v>41928</v>
      </c>
      <c r="AJ210" s="2">
        <v>94.64</v>
      </c>
      <c r="AK210" s="2">
        <v>41.63</v>
      </c>
      <c r="AL210" s="2">
        <v>174.59</v>
      </c>
      <c r="AM210" s="2">
        <v>92.844446490270428</v>
      </c>
      <c r="AN210" s="2">
        <v>49.694973495319203</v>
      </c>
    </row>
    <row r="211" spans="2:40" x14ac:dyDescent="0.35">
      <c r="B211" s="15">
        <v>41927</v>
      </c>
      <c r="C211" s="49" t="str">
        <f>$S$4</f>
        <v>AAPL</v>
      </c>
      <c r="D211" s="53">
        <f>CHOOSE($S$3,AJ211,AK211,AL211,AM211,AN211)</f>
        <v>95.9</v>
      </c>
      <c r="E211" s="55">
        <f t="shared" si="19"/>
        <v>-1.2332401492660933E-2</v>
      </c>
      <c r="F211" s="55">
        <f t="shared" si="22"/>
        <v>-1.2332401492660933E-2</v>
      </c>
      <c r="G211" s="70">
        <f t="shared" si="23"/>
        <v>-1.3647391335544009E-2</v>
      </c>
      <c r="H211" s="53"/>
      <c r="I211" s="15">
        <v>41927</v>
      </c>
      <c r="J211" s="55">
        <v>-5.3E-3</v>
      </c>
      <c r="K211" s="55">
        <v>1.8100000000000002E-2</v>
      </c>
      <c r="L211" s="55">
        <v>-1.3100000000000001E-2</v>
      </c>
      <c r="M211" s="55">
        <v>0</v>
      </c>
      <c r="N211" s="70">
        <f t="shared" si="24"/>
        <v>-5.8091451292246526E-3</v>
      </c>
      <c r="O211" s="70">
        <f t="shared" si="20"/>
        <v>1.8191650099403579E-2</v>
      </c>
      <c r="P211" s="70">
        <f t="shared" si="21"/>
        <v>-1.2801590457256462E-2</v>
      </c>
      <c r="AI211" s="15">
        <v>41927</v>
      </c>
      <c r="AJ211" s="2">
        <v>95.9</v>
      </c>
      <c r="AK211" s="2">
        <v>42.09</v>
      </c>
      <c r="AL211" s="2">
        <v>176.45</v>
      </c>
      <c r="AM211" s="2">
        <v>93.957054441636586</v>
      </c>
      <c r="AN211" s="2">
        <v>50.234244833504576</v>
      </c>
    </row>
    <row r="212" spans="2:40" x14ac:dyDescent="0.35">
      <c r="B212" s="15">
        <v>41926</v>
      </c>
      <c r="C212" s="49" t="str">
        <f>$S$4</f>
        <v>AAPL</v>
      </c>
      <c r="D212" s="53">
        <f>CHOOSE($S$3,AJ212,AK212,AL212,AM212,AN212)</f>
        <v>97.09</v>
      </c>
      <c r="E212" s="55">
        <f t="shared" si="19"/>
        <v>-1.0654746836348596E-2</v>
      </c>
      <c r="F212" s="55">
        <f t="shared" si="22"/>
        <v>-1.0654746836348596E-2</v>
      </c>
      <c r="G212" s="70">
        <f t="shared" si="23"/>
        <v>-1.1969736679231673E-2</v>
      </c>
      <c r="H212" s="53"/>
      <c r="I212" s="15">
        <v>41926</v>
      </c>
      <c r="J212" s="55">
        <v>2.8000000000000004E-3</v>
      </c>
      <c r="K212" s="55">
        <v>8.6E-3</v>
      </c>
      <c r="L212" s="55">
        <v>-1.1999999999999999E-3</v>
      </c>
      <c r="M212" s="55">
        <v>0</v>
      </c>
      <c r="N212" s="70">
        <f t="shared" si="24"/>
        <v>2.2908548707753478E-3</v>
      </c>
      <c r="O212" s="70">
        <f t="shared" si="20"/>
        <v>8.6916500994035778E-3</v>
      </c>
      <c r="P212" s="70">
        <f t="shared" si="21"/>
        <v>-9.0159045725646107E-4</v>
      </c>
      <c r="AI212" s="15">
        <v>41926</v>
      </c>
      <c r="AJ212" s="2">
        <v>97.09</v>
      </c>
      <c r="AK212" s="2">
        <v>42.59</v>
      </c>
      <c r="AL212" s="2">
        <v>178.44</v>
      </c>
      <c r="AM212" s="2">
        <v>95.069822674568087</v>
      </c>
      <c r="AN212" s="2">
        <v>50.815889288115152</v>
      </c>
    </row>
    <row r="213" spans="2:40" x14ac:dyDescent="0.35">
      <c r="B213" s="15">
        <v>41925</v>
      </c>
      <c r="C213" s="49" t="str">
        <f>$S$4</f>
        <v>AAPL</v>
      </c>
      <c r="D213" s="53">
        <f>CHOOSE($S$3,AJ213,AK213,AL213,AM213,AN213)</f>
        <v>98.13</v>
      </c>
      <c r="E213" s="55">
        <f t="shared" si="19"/>
        <v>-9.2306787178838522E-3</v>
      </c>
      <c r="F213" s="55">
        <f t="shared" si="22"/>
        <v>-9.2306787178838522E-3</v>
      </c>
      <c r="G213" s="70">
        <f t="shared" si="23"/>
        <v>-1.0545668560766929E-2</v>
      </c>
      <c r="H213" s="53"/>
      <c r="I213" s="15">
        <v>41925</v>
      </c>
      <c r="J213" s="55">
        <v>-1.5900000000000001E-2</v>
      </c>
      <c r="K213" s="55">
        <v>1.32E-2</v>
      </c>
      <c r="L213" s="55">
        <v>5.0000000000000001E-3</v>
      </c>
      <c r="M213" s="55">
        <v>0</v>
      </c>
      <c r="N213" s="70">
        <f t="shared" si="24"/>
        <v>-1.6409145129224652E-2</v>
      </c>
      <c r="O213" s="70">
        <f t="shared" si="20"/>
        <v>1.3291650099403578E-2</v>
      </c>
      <c r="P213" s="70">
        <f t="shared" si="21"/>
        <v>5.2984095427435389E-3</v>
      </c>
      <c r="AI213" s="15">
        <v>41925</v>
      </c>
      <c r="AJ213" s="2">
        <v>98.13</v>
      </c>
      <c r="AK213" s="2">
        <v>42.51</v>
      </c>
      <c r="AL213" s="2">
        <v>178.16</v>
      </c>
      <c r="AM213" s="2">
        <v>95.504413257995935</v>
      </c>
      <c r="AN213" s="2">
        <v>50.728294634087916</v>
      </c>
    </row>
    <row r="214" spans="2:40" x14ac:dyDescent="0.35">
      <c r="B214" s="15">
        <v>41922</v>
      </c>
      <c r="C214" s="49" t="str">
        <f>$S$4</f>
        <v>AAPL</v>
      </c>
      <c r="D214" s="53">
        <f>CHOOSE($S$3,AJ214,AK214,AL214,AM214,AN214)</f>
        <v>99.04</v>
      </c>
      <c r="E214" s="55">
        <f t="shared" si="19"/>
        <v>-2.8231517036797753E-3</v>
      </c>
      <c r="F214" s="55">
        <f t="shared" si="22"/>
        <v>-2.8231517036797753E-3</v>
      </c>
      <c r="G214" s="70">
        <f t="shared" si="23"/>
        <v>-4.138141546562852E-3</v>
      </c>
      <c r="H214" s="53"/>
      <c r="I214" s="15">
        <v>41922</v>
      </c>
      <c r="J214" s="55">
        <v>-1.3000000000000001E-2</v>
      </c>
      <c r="K214" s="55">
        <v>-1.7000000000000001E-3</v>
      </c>
      <c r="L214" s="55">
        <v>5.5000000000000005E-3</v>
      </c>
      <c r="M214" s="55">
        <v>0</v>
      </c>
      <c r="N214" s="70">
        <f t="shared" si="24"/>
        <v>-1.3509145129224654E-2</v>
      </c>
      <c r="O214" s="70">
        <f t="shared" si="20"/>
        <v>-1.6083499005964219E-3</v>
      </c>
      <c r="P214" s="70">
        <f t="shared" si="21"/>
        <v>5.7984095427435394E-3</v>
      </c>
      <c r="AI214" s="15">
        <v>41922</v>
      </c>
      <c r="AJ214" s="2">
        <v>99.04</v>
      </c>
      <c r="AK214" s="2">
        <v>42.88</v>
      </c>
      <c r="AL214" s="2">
        <v>180.5</v>
      </c>
      <c r="AM214" s="2">
        <v>96.574429144456943</v>
      </c>
      <c r="AN214" s="2">
        <v>51.282199311308126</v>
      </c>
    </row>
    <row r="215" spans="2:40" x14ac:dyDescent="0.35">
      <c r="B215" s="15">
        <v>41921</v>
      </c>
      <c r="C215" s="49" t="str">
        <f>$S$4</f>
        <v>AAPL</v>
      </c>
      <c r="D215" s="53">
        <f>CHOOSE($S$3,AJ215,AK215,AL215,AM215,AN215)</f>
        <v>99.32</v>
      </c>
      <c r="E215" s="55">
        <f t="shared" si="19"/>
        <v>2.1166162213487735E-3</v>
      </c>
      <c r="F215" s="55">
        <f t="shared" si="22"/>
        <v>2.1166162213487735E-3</v>
      </c>
      <c r="G215" s="70">
        <f t="shared" si="23"/>
        <v>8.0162637846569644E-4</v>
      </c>
      <c r="H215" s="53"/>
      <c r="I215" s="15">
        <v>41921</v>
      </c>
      <c r="J215" s="55">
        <v>-2.1700000000000001E-2</v>
      </c>
      <c r="K215" s="55">
        <v>-4.1999999999999997E-3</v>
      </c>
      <c r="L215" s="55">
        <v>-4.0000000000000001E-3</v>
      </c>
      <c r="M215" s="55">
        <v>0</v>
      </c>
      <c r="N215" s="70">
        <f t="shared" si="24"/>
        <v>-2.2209145129224651E-2</v>
      </c>
      <c r="O215" s="70">
        <f t="shared" si="20"/>
        <v>-4.1083499005964211E-3</v>
      </c>
      <c r="P215" s="70">
        <f t="shared" si="21"/>
        <v>-3.7015904572564613E-3</v>
      </c>
      <c r="AI215" s="15">
        <v>41921</v>
      </c>
      <c r="AJ215" s="2">
        <v>99.32</v>
      </c>
      <c r="AK215" s="2">
        <v>44.65</v>
      </c>
      <c r="AL215" s="2">
        <v>180.98</v>
      </c>
      <c r="AM215" s="2">
        <v>96.839353100052406</v>
      </c>
      <c r="AN215" s="2">
        <v>52.408799098001282</v>
      </c>
    </row>
    <row r="216" spans="2:40" x14ac:dyDescent="0.35">
      <c r="B216" s="15">
        <v>41920</v>
      </c>
      <c r="C216" s="49" t="str">
        <f>$S$4</f>
        <v>AAPL</v>
      </c>
      <c r="D216" s="53">
        <f>CHOOSE($S$3,AJ216,AK216,AL216,AM216,AN216)</f>
        <v>99.11</v>
      </c>
      <c r="E216" s="55">
        <f t="shared" si="19"/>
        <v>2.0591961036563456E-2</v>
      </c>
      <c r="F216" s="55">
        <f t="shared" si="22"/>
        <v>2.0591961036563456E-2</v>
      </c>
      <c r="G216" s="70">
        <f t="shared" si="23"/>
        <v>1.9276971193680378E-2</v>
      </c>
      <c r="H216" s="53"/>
      <c r="I216" s="15">
        <v>41920</v>
      </c>
      <c r="J216" s="55">
        <v>1.7000000000000001E-2</v>
      </c>
      <c r="K216" s="55">
        <v>2.0000000000000001E-4</v>
      </c>
      <c r="L216" s="55">
        <v>-5.9999999999999995E-4</v>
      </c>
      <c r="M216" s="55">
        <v>0</v>
      </c>
      <c r="N216" s="70">
        <f t="shared" si="24"/>
        <v>1.6490854870775347E-2</v>
      </c>
      <c r="O216" s="70">
        <f t="shared" si="20"/>
        <v>2.9165009940357832E-4</v>
      </c>
      <c r="P216" s="70">
        <f t="shared" si="21"/>
        <v>-3.0159045725646112E-4</v>
      </c>
      <c r="AI216" s="15">
        <v>41920</v>
      </c>
      <c r="AJ216" s="2">
        <v>99.11</v>
      </c>
      <c r="AK216" s="2">
        <v>45.56</v>
      </c>
      <c r="AL216" s="2">
        <v>183.83</v>
      </c>
      <c r="AM216" s="2">
        <v>97.499469137453445</v>
      </c>
      <c r="AN216" s="2">
        <v>53.355520436516137</v>
      </c>
    </row>
    <row r="217" spans="2:40" x14ac:dyDescent="0.35">
      <c r="B217" s="15">
        <v>41919</v>
      </c>
      <c r="C217" s="49" t="str">
        <f>$S$4</f>
        <v>AAPL</v>
      </c>
      <c r="D217" s="53">
        <f>CHOOSE($S$3,AJ217,AK217,AL217,AM217,AN217)</f>
        <v>97.09</v>
      </c>
      <c r="E217" s="55">
        <f t="shared" si="19"/>
        <v>-8.8187610084961721E-3</v>
      </c>
      <c r="F217" s="55">
        <f t="shared" si="22"/>
        <v>-8.8187610084961721E-3</v>
      </c>
      <c r="G217" s="70">
        <f t="shared" si="23"/>
        <v>-1.0133750851379249E-2</v>
      </c>
      <c r="H217" s="53"/>
      <c r="I217" s="15">
        <v>41919</v>
      </c>
      <c r="J217" s="55">
        <v>-1.5600000000000001E-2</v>
      </c>
      <c r="K217" s="55">
        <v>-1.1999999999999999E-3</v>
      </c>
      <c r="L217" s="55">
        <v>1.1999999999999999E-3</v>
      </c>
      <c r="M217" s="55">
        <v>0</v>
      </c>
      <c r="N217" s="70">
        <f t="shared" si="24"/>
        <v>-1.6109145129224654E-2</v>
      </c>
      <c r="O217" s="70">
        <f t="shared" si="20"/>
        <v>-1.1083499005964217E-3</v>
      </c>
      <c r="P217" s="70">
        <f t="shared" si="21"/>
        <v>1.4984095427435387E-3</v>
      </c>
      <c r="AI217" s="15">
        <v>41919</v>
      </c>
      <c r="AJ217" s="2">
        <v>97.09</v>
      </c>
      <c r="AK217" s="2">
        <v>44.34</v>
      </c>
      <c r="AL217" s="2">
        <v>180.29</v>
      </c>
      <c r="AM217" s="2">
        <v>95.567111726080952</v>
      </c>
      <c r="AN217" s="2">
        <v>52.12741514749986</v>
      </c>
    </row>
    <row r="218" spans="2:40" x14ac:dyDescent="0.35">
      <c r="B218" s="15">
        <v>41918</v>
      </c>
      <c r="C218" s="49" t="str">
        <f>$S$4</f>
        <v>AAPL</v>
      </c>
      <c r="D218" s="53">
        <f>CHOOSE($S$3,AJ218,AK218,AL218,AM218,AN218)</f>
        <v>97.95</v>
      </c>
      <c r="E218" s="55">
        <f t="shared" si="19"/>
        <v>0</v>
      </c>
      <c r="F218" s="55">
        <f t="shared" si="22"/>
        <v>0</v>
      </c>
      <c r="G218" s="70">
        <f t="shared" si="23"/>
        <v>-1.3149898428830771E-3</v>
      </c>
      <c r="H218" s="53"/>
      <c r="I218" s="15">
        <v>41918</v>
      </c>
      <c r="J218" s="55">
        <v>-2.5999999999999999E-3</v>
      </c>
      <c r="K218" s="55">
        <v>-7.8000000000000005E-3</v>
      </c>
      <c r="L218" s="55">
        <v>3.9000000000000003E-3</v>
      </c>
      <c r="M218" s="55">
        <v>0</v>
      </c>
      <c r="N218" s="70">
        <f t="shared" si="24"/>
        <v>-3.1091451292246525E-3</v>
      </c>
      <c r="O218" s="70">
        <f t="shared" si="20"/>
        <v>-7.7083499005964218E-3</v>
      </c>
      <c r="P218" s="70">
        <f t="shared" si="21"/>
        <v>4.1984095427435395E-3</v>
      </c>
      <c r="AI218" s="15">
        <v>41918</v>
      </c>
      <c r="AJ218" s="2">
        <v>97.95</v>
      </c>
      <c r="AK218" s="2">
        <v>44.89</v>
      </c>
      <c r="AL218" s="2">
        <v>183.52</v>
      </c>
      <c r="AM218" s="2">
        <v>96.846437175451229</v>
      </c>
      <c r="AN218" s="2">
        <v>52.917659729294407</v>
      </c>
    </row>
    <row r="219" spans="2:40" x14ac:dyDescent="0.35">
      <c r="B219" s="15">
        <v>41915</v>
      </c>
      <c r="C219" s="49" t="str">
        <f>$S$4</f>
        <v>AAPL</v>
      </c>
      <c r="D219" s="53">
        <f>CHOOSE($S$3,AJ219,AK219,AL219,AM219,AN219)</f>
        <v>97.95</v>
      </c>
      <c r="E219" s="55">
        <f t="shared" si="19"/>
        <v>-2.7527162205487543E-3</v>
      </c>
      <c r="F219" s="55">
        <f t="shared" si="22"/>
        <v>-2.7527162205487543E-3</v>
      </c>
      <c r="G219" s="70">
        <f t="shared" si="23"/>
        <v>-4.0677060634318318E-3</v>
      </c>
      <c r="H219" s="53"/>
      <c r="I219" s="15">
        <v>41915</v>
      </c>
      <c r="J219" s="55">
        <v>1.0800000000000001E-2</v>
      </c>
      <c r="K219" s="55">
        <v>-3.9000000000000003E-3</v>
      </c>
      <c r="L219" s="55">
        <v>-4.0999999999999995E-3</v>
      </c>
      <c r="M219" s="55">
        <v>0</v>
      </c>
      <c r="N219" s="70">
        <f t="shared" si="24"/>
        <v>1.0290854870775348E-2</v>
      </c>
      <c r="O219" s="70">
        <f t="shared" si="20"/>
        <v>-3.808349900596422E-3</v>
      </c>
      <c r="P219" s="70">
        <f t="shared" si="21"/>
        <v>-3.8015904572564607E-3</v>
      </c>
      <c r="AI219" s="15">
        <v>41915</v>
      </c>
      <c r="AJ219" s="2">
        <v>97.95</v>
      </c>
      <c r="AK219" s="2">
        <v>44.89</v>
      </c>
      <c r="AL219" s="2">
        <v>183.16</v>
      </c>
      <c r="AM219" s="2">
        <v>96.75144829853545</v>
      </c>
      <c r="AN219" s="2">
        <v>52.865757055191999</v>
      </c>
    </row>
    <row r="220" spans="2:40" x14ac:dyDescent="0.35">
      <c r="B220" s="15">
        <v>41914</v>
      </c>
      <c r="C220" s="49" t="str">
        <f>$S$4</f>
        <v>AAPL</v>
      </c>
      <c r="D220" s="53">
        <f>CHOOSE($S$3,AJ220,AK220,AL220,AM220,AN220)</f>
        <v>98.22</v>
      </c>
      <c r="E220" s="55">
        <f t="shared" si="19"/>
        <v>7.254923764070856E-3</v>
      </c>
      <c r="F220" s="55">
        <f t="shared" si="22"/>
        <v>7.254923764070856E-3</v>
      </c>
      <c r="G220" s="70">
        <f t="shared" si="23"/>
        <v>5.9399339211877785E-3</v>
      </c>
      <c r="H220" s="53"/>
      <c r="I220" s="15">
        <v>41914</v>
      </c>
      <c r="J220" s="55">
        <v>1.5E-3</v>
      </c>
      <c r="K220" s="55">
        <v>1.01E-2</v>
      </c>
      <c r="L220" s="55">
        <v>-3.8E-3</v>
      </c>
      <c r="M220" s="55">
        <v>0</v>
      </c>
      <c r="N220" s="70">
        <f t="shared" si="24"/>
        <v>9.9085487077534744E-4</v>
      </c>
      <c r="O220" s="70">
        <f t="shared" si="20"/>
        <v>1.0191650099403577E-2</v>
      </c>
      <c r="P220" s="70">
        <f t="shared" si="21"/>
        <v>-3.5015904572564612E-3</v>
      </c>
      <c r="AI220" s="15">
        <v>41914</v>
      </c>
      <c r="AJ220" s="2">
        <v>98.22</v>
      </c>
      <c r="AK220" s="2">
        <v>44.57</v>
      </c>
      <c r="AL220" s="2">
        <v>181.46</v>
      </c>
      <c r="AM220" s="2">
        <v>96.435796984420023</v>
      </c>
      <c r="AN220" s="2">
        <v>52.431992489420921</v>
      </c>
    </row>
    <row r="221" spans="2:40" x14ac:dyDescent="0.35">
      <c r="B221" s="15">
        <v>41913</v>
      </c>
      <c r="C221" s="49" t="str">
        <f>$S$4</f>
        <v>AAPL</v>
      </c>
      <c r="D221" s="53">
        <f>CHOOSE($S$3,AJ221,AK221,AL221,AM221,AN221)</f>
        <v>97.51</v>
      </c>
      <c r="E221" s="55">
        <f t="shared" si="19"/>
        <v>-1.5770790313063957E-2</v>
      </c>
      <c r="F221" s="55">
        <f t="shared" si="22"/>
        <v>-1.5770790313063957E-2</v>
      </c>
      <c r="G221" s="70">
        <f t="shared" si="23"/>
        <v>-1.7085780155947035E-2</v>
      </c>
      <c r="H221" s="53"/>
      <c r="I221" s="15">
        <v>41913</v>
      </c>
      <c r="J221" s="55">
        <v>-1.3899999999999999E-2</v>
      </c>
      <c r="K221" s="55">
        <v>-1.5E-3</v>
      </c>
      <c r="L221" s="55">
        <v>3.3E-3</v>
      </c>
      <c r="M221" s="55">
        <v>0</v>
      </c>
      <c r="N221" s="70">
        <f t="shared" si="24"/>
        <v>-1.4409145129224652E-2</v>
      </c>
      <c r="O221" s="70">
        <f t="shared" si="20"/>
        <v>-1.4083499005964218E-3</v>
      </c>
      <c r="P221" s="70">
        <f t="shared" si="21"/>
        <v>3.5984095427435388E-3</v>
      </c>
      <c r="AI221" s="15">
        <v>41913</v>
      </c>
      <c r="AJ221" s="2">
        <v>97.51</v>
      </c>
      <c r="AK221" s="2">
        <v>44.7</v>
      </c>
      <c r="AL221" s="2">
        <v>181.71</v>
      </c>
      <c r="AM221" s="2">
        <v>96.153676170591808</v>
      </c>
      <c r="AN221" s="2">
        <v>52.54457641021461</v>
      </c>
    </row>
    <row r="222" spans="2:40" x14ac:dyDescent="0.35">
      <c r="B222" s="15">
        <v>41912</v>
      </c>
      <c r="C222" s="49" t="str">
        <f>$S$4</f>
        <v>AAPL</v>
      </c>
      <c r="D222" s="53">
        <f>CHOOSE($S$3,AJ222,AK222,AL222,AM222,AN222)</f>
        <v>99.06</v>
      </c>
      <c r="E222" s="55">
        <f t="shared" si="19"/>
        <v>6.3800915189715793E-3</v>
      </c>
      <c r="F222" s="55">
        <f t="shared" si="22"/>
        <v>6.3800915189715793E-3</v>
      </c>
      <c r="G222" s="70">
        <f t="shared" si="23"/>
        <v>5.0651016760885018E-3</v>
      </c>
      <c r="H222" s="53"/>
      <c r="I222" s="15">
        <v>41912</v>
      </c>
      <c r="J222" s="55">
        <v>-4.0000000000000001E-3</v>
      </c>
      <c r="K222" s="55">
        <v>-1.01E-2</v>
      </c>
      <c r="L222" s="55">
        <v>1.4000000000000002E-3</v>
      </c>
      <c r="M222" s="55">
        <v>0</v>
      </c>
      <c r="N222" s="70">
        <f t="shared" si="24"/>
        <v>-4.5091451292246527E-3</v>
      </c>
      <c r="O222" s="70">
        <f t="shared" si="20"/>
        <v>-1.0008349900596422E-2</v>
      </c>
      <c r="P222" s="70">
        <f t="shared" si="21"/>
        <v>1.698409542743539E-3</v>
      </c>
      <c r="AI222" s="15">
        <v>41912</v>
      </c>
      <c r="AJ222" s="2">
        <v>99.06</v>
      </c>
      <c r="AK222" s="2">
        <v>45.15</v>
      </c>
      <c r="AL222" s="2">
        <v>184.29</v>
      </c>
      <c r="AM222" s="2">
        <v>97.600512729900004</v>
      </c>
      <c r="AN222" s="2">
        <v>53.182088253018641</v>
      </c>
    </row>
    <row r="223" spans="2:40" x14ac:dyDescent="0.35">
      <c r="B223" s="15">
        <v>41911</v>
      </c>
      <c r="C223" s="49" t="str">
        <f>$S$4</f>
        <v>AAPL</v>
      </c>
      <c r="D223" s="53">
        <f>CHOOSE($S$3,AJ223,AK223,AL223,AM223,AN223)</f>
        <v>98.43</v>
      </c>
      <c r="E223" s="55">
        <f t="shared" si="19"/>
        <v>-6.3800915189715975E-3</v>
      </c>
      <c r="F223" s="55">
        <f t="shared" si="22"/>
        <v>-6.3800915189715975E-3</v>
      </c>
      <c r="G223" s="70">
        <f t="shared" si="23"/>
        <v>-7.6950813618546741E-3</v>
      </c>
      <c r="H223" s="53"/>
      <c r="I223" s="15">
        <v>41911</v>
      </c>
      <c r="J223" s="55">
        <v>-2.2000000000000001E-3</v>
      </c>
      <c r="K223" s="55">
        <v>1.7000000000000001E-3</v>
      </c>
      <c r="L223" s="55">
        <v>-4.4000000000000003E-3</v>
      </c>
      <c r="M223" s="55">
        <v>0</v>
      </c>
      <c r="N223" s="70">
        <f t="shared" si="24"/>
        <v>-2.7091451292246527E-3</v>
      </c>
      <c r="O223" s="70">
        <f t="shared" si="20"/>
        <v>1.7916500994035784E-3</v>
      </c>
      <c r="P223" s="70">
        <f t="shared" si="21"/>
        <v>-4.1015904572564614E-3</v>
      </c>
      <c r="AI223" s="15">
        <v>41911</v>
      </c>
      <c r="AJ223" s="2">
        <v>98.43</v>
      </c>
      <c r="AK223" s="2">
        <v>45.23</v>
      </c>
      <c r="AL223" s="2">
        <v>184.11</v>
      </c>
      <c r="AM223" s="2">
        <v>97.242489482087649</v>
      </c>
      <c r="AN223" s="2">
        <v>53.203232123556575</v>
      </c>
    </row>
    <row r="224" spans="2:40" x14ac:dyDescent="0.35">
      <c r="B224" s="15">
        <v>41908</v>
      </c>
      <c r="C224" s="49" t="str">
        <f>$S$4</f>
        <v>AAPL</v>
      </c>
      <c r="D224" s="53">
        <f>CHOOSE($S$3,AJ224,AK224,AL224,AM224,AN224)</f>
        <v>99.06</v>
      </c>
      <c r="E224" s="55">
        <f t="shared" si="19"/>
        <v>2.8984567791782066E-2</v>
      </c>
      <c r="F224" s="55">
        <f t="shared" si="22"/>
        <v>2.8984567791782066E-2</v>
      </c>
      <c r="G224" s="70">
        <f t="shared" si="23"/>
        <v>2.7669577948898988E-2</v>
      </c>
      <c r="H224" s="53"/>
      <c r="I224" s="15">
        <v>41908</v>
      </c>
      <c r="J224" s="55">
        <v>8.5000000000000006E-3</v>
      </c>
      <c r="K224" s="55">
        <v>-4.0000000000000002E-4</v>
      </c>
      <c r="L224" s="55">
        <v>-2.7000000000000001E-3</v>
      </c>
      <c r="M224" s="55">
        <v>0</v>
      </c>
      <c r="N224" s="70">
        <f t="shared" si="24"/>
        <v>7.990854870775348E-3</v>
      </c>
      <c r="O224" s="70">
        <f t="shared" si="20"/>
        <v>-3.0834990059642174E-4</v>
      </c>
      <c r="P224" s="70">
        <f t="shared" si="21"/>
        <v>-2.4015904572564613E-3</v>
      </c>
      <c r="AI224" s="15">
        <v>41908</v>
      </c>
      <c r="AJ224" s="2">
        <v>99.06</v>
      </c>
      <c r="AK224" s="2">
        <v>45.2</v>
      </c>
      <c r="AL224" s="2">
        <v>184.51</v>
      </c>
      <c r="AM224" s="2">
        <v>97.659324365532342</v>
      </c>
      <c r="AN224" s="2">
        <v>53.243382943210548</v>
      </c>
    </row>
    <row r="225" spans="2:40" x14ac:dyDescent="0.35">
      <c r="B225" s="15">
        <v>41907</v>
      </c>
      <c r="C225" s="49" t="str">
        <f>$S$4</f>
        <v>AAPL</v>
      </c>
      <c r="D225" s="53">
        <f>CHOOSE($S$3,AJ225,AK225,AL225,AM225,AN225)</f>
        <v>96.23</v>
      </c>
      <c r="E225" s="55">
        <f t="shared" si="19"/>
        <v>-3.8828946641108857E-2</v>
      </c>
      <c r="F225" s="55">
        <f t="shared" si="22"/>
        <v>-3.8828946641108857E-2</v>
      </c>
      <c r="G225" s="70">
        <f t="shared" si="23"/>
        <v>-4.0143936483991935E-2</v>
      </c>
      <c r="H225" s="53"/>
      <c r="I225" s="15">
        <v>41907</v>
      </c>
      <c r="J225" s="55">
        <v>-1.6200000000000003E-2</v>
      </c>
      <c r="K225" s="55">
        <v>8.0000000000000004E-4</v>
      </c>
      <c r="L225" s="55">
        <v>1.5E-3</v>
      </c>
      <c r="M225" s="55">
        <v>0</v>
      </c>
      <c r="N225" s="70">
        <f t="shared" si="24"/>
        <v>-1.6709145129224653E-2</v>
      </c>
      <c r="O225" s="70">
        <f t="shared" si="20"/>
        <v>8.9165009940357838E-4</v>
      </c>
      <c r="P225" s="70">
        <f t="shared" si="21"/>
        <v>1.7984095427435389E-3</v>
      </c>
      <c r="AI225" s="15">
        <v>41907</v>
      </c>
      <c r="AJ225" s="2">
        <v>96.23</v>
      </c>
      <c r="AK225" s="2">
        <v>44.84</v>
      </c>
      <c r="AL225" s="2">
        <v>183.49</v>
      </c>
      <c r="AM225" s="2">
        <v>95.99439402434777</v>
      </c>
      <c r="AN225" s="2">
        <v>52.8841829179295</v>
      </c>
    </row>
    <row r="226" spans="2:40" x14ac:dyDescent="0.35">
      <c r="B226" s="15">
        <v>41906</v>
      </c>
      <c r="C226" s="49" t="str">
        <f>$S$4</f>
        <v>AAPL</v>
      </c>
      <c r="D226" s="53">
        <f>CHOOSE($S$3,AJ226,AK226,AL226,AM226,AN226)</f>
        <v>100.04</v>
      </c>
      <c r="E226" s="55">
        <f t="shared" si="19"/>
        <v>-8.6589244670190312E-3</v>
      </c>
      <c r="F226" s="55">
        <f t="shared" si="22"/>
        <v>-8.6589244670190312E-3</v>
      </c>
      <c r="G226" s="70">
        <f t="shared" si="23"/>
        <v>-9.9739143099021078E-3</v>
      </c>
      <c r="H226" s="53"/>
      <c r="I226" s="15">
        <v>41906</v>
      </c>
      <c r="J226" s="55">
        <v>8.1000000000000013E-3</v>
      </c>
      <c r="K226" s="55">
        <v>8.0000000000000004E-4</v>
      </c>
      <c r="L226" s="55">
        <v>-9.1999999999999998E-3</v>
      </c>
      <c r="M226" s="55">
        <v>0</v>
      </c>
      <c r="N226" s="70">
        <f t="shared" si="24"/>
        <v>7.5908548707753487E-3</v>
      </c>
      <c r="O226" s="70">
        <f t="shared" si="20"/>
        <v>8.9165009940357838E-4</v>
      </c>
      <c r="P226" s="70">
        <f t="shared" si="21"/>
        <v>-8.901590457256461E-3</v>
      </c>
      <c r="AI226" s="15">
        <v>41906</v>
      </c>
      <c r="AJ226" s="2">
        <v>100.04</v>
      </c>
      <c r="AK226" s="2">
        <v>45.85</v>
      </c>
      <c r="AL226" s="2">
        <v>186.7</v>
      </c>
      <c r="AM226" s="2">
        <v>98.734399642649961</v>
      </c>
      <c r="AN226" s="2">
        <v>53.942360330473456</v>
      </c>
    </row>
    <row r="227" spans="2:40" x14ac:dyDescent="0.35">
      <c r="B227" s="15">
        <v>41905</v>
      </c>
      <c r="C227" s="49" t="str">
        <f>$S$4</f>
        <v>AAPL</v>
      </c>
      <c r="D227" s="53">
        <f>CHOOSE($S$3,AJ227,AK227,AL227,AM227,AN227)</f>
        <v>100.91</v>
      </c>
      <c r="E227" s="55">
        <f t="shared" si="19"/>
        <v>1.5479412291268677E-2</v>
      </c>
      <c r="F227" s="55">
        <f t="shared" si="22"/>
        <v>1.5479412291268677E-2</v>
      </c>
      <c r="G227" s="70">
        <f t="shared" si="23"/>
        <v>1.4164422448385601E-2</v>
      </c>
      <c r="H227" s="53"/>
      <c r="I227" s="15">
        <v>41905</v>
      </c>
      <c r="J227" s="55">
        <v>-6.1999999999999998E-3</v>
      </c>
      <c r="K227" s="55">
        <v>-3.0999999999999999E-3</v>
      </c>
      <c r="L227" s="55">
        <v>-5.0000000000000001E-4</v>
      </c>
      <c r="M227" s="55">
        <v>0</v>
      </c>
      <c r="N227" s="70">
        <f t="shared" si="24"/>
        <v>-6.7091451292246524E-3</v>
      </c>
      <c r="O227" s="70">
        <f t="shared" si="20"/>
        <v>-3.0083499005964217E-3</v>
      </c>
      <c r="P227" s="70">
        <f t="shared" si="21"/>
        <v>-2.0159045725646118E-4</v>
      </c>
      <c r="AI227" s="15">
        <v>41905</v>
      </c>
      <c r="AJ227" s="2">
        <v>100.91</v>
      </c>
      <c r="AK227" s="2">
        <v>45.35</v>
      </c>
      <c r="AL227" s="2">
        <v>186.03</v>
      </c>
      <c r="AM227" s="2">
        <v>98.986561202814002</v>
      </c>
      <c r="AN227" s="2">
        <v>53.551446240606246</v>
      </c>
    </row>
    <row r="228" spans="2:40" x14ac:dyDescent="0.35">
      <c r="B228" s="15">
        <v>41904</v>
      </c>
      <c r="C228" s="49" t="str">
        <f>$S$4</f>
        <v>AAPL</v>
      </c>
      <c r="D228" s="53">
        <f>CHOOSE($S$3,AJ228,AK228,AL228,AM228,AN228)</f>
        <v>99.36</v>
      </c>
      <c r="E228" s="55">
        <f t="shared" si="19"/>
        <v>1.0069480258737291E-3</v>
      </c>
      <c r="F228" s="55">
        <f t="shared" si="22"/>
        <v>1.0069480258737291E-3</v>
      </c>
      <c r="G228" s="70">
        <f t="shared" si="23"/>
        <v>-3.0804181700934798E-4</v>
      </c>
      <c r="H228" s="53"/>
      <c r="I228" s="15">
        <v>41904</v>
      </c>
      <c r="J228" s="55">
        <v>-9.7000000000000003E-3</v>
      </c>
      <c r="K228" s="55">
        <v>-5.6999999999999993E-3</v>
      </c>
      <c r="L228" s="55">
        <v>1.2999999999999999E-3</v>
      </c>
      <c r="M228" s="55">
        <v>0</v>
      </c>
      <c r="N228" s="70">
        <f t="shared" si="24"/>
        <v>-1.0209145129224653E-2</v>
      </c>
      <c r="O228" s="70">
        <f t="shared" si="20"/>
        <v>-5.6083499005964207E-3</v>
      </c>
      <c r="P228" s="70">
        <f t="shared" si="21"/>
        <v>1.5984095427435388E-3</v>
      </c>
      <c r="AI228" s="15">
        <v>41904</v>
      </c>
      <c r="AJ228" s="2">
        <v>99.36</v>
      </c>
      <c r="AK228" s="2">
        <v>45.83</v>
      </c>
      <c r="AL228" s="2">
        <v>187.47</v>
      </c>
      <c r="AM228" s="2">
        <v>98.609445419303114</v>
      </c>
      <c r="AN228" s="2">
        <v>54.042112196221382</v>
      </c>
    </row>
    <row r="229" spans="2:40" x14ac:dyDescent="0.35">
      <c r="B229" s="15">
        <v>41901</v>
      </c>
      <c r="C229" s="49" t="str">
        <f>$S$4</f>
        <v>AAPL</v>
      </c>
      <c r="D229" s="53">
        <f>CHOOSE($S$3,AJ229,AK229,AL229,AM229,AN229)</f>
        <v>99.26</v>
      </c>
      <c r="E229" s="55">
        <f t="shared" si="19"/>
        <v>-8.2271959993609409E-3</v>
      </c>
      <c r="F229" s="55">
        <f t="shared" si="22"/>
        <v>-8.2271959993609409E-3</v>
      </c>
      <c r="G229" s="70">
        <f t="shared" si="23"/>
        <v>-9.5421858422440175E-3</v>
      </c>
      <c r="H229" s="53"/>
      <c r="I229" s="15">
        <v>41901</v>
      </c>
      <c r="J229" s="55">
        <v>-1.8E-3</v>
      </c>
      <c r="K229" s="55">
        <v>-9.7000000000000003E-3</v>
      </c>
      <c r="L229" s="55">
        <v>5.0000000000000001E-4</v>
      </c>
      <c r="M229" s="55">
        <v>0</v>
      </c>
      <c r="N229" s="70">
        <f t="shared" si="24"/>
        <v>-2.3091451292246525E-3</v>
      </c>
      <c r="O229" s="70">
        <f t="shared" si="20"/>
        <v>-9.6083499005964225E-3</v>
      </c>
      <c r="P229" s="70">
        <f t="shared" si="21"/>
        <v>7.9840954274353884E-4</v>
      </c>
      <c r="AI229" s="15">
        <v>41901</v>
      </c>
      <c r="AJ229" s="2">
        <v>99.26</v>
      </c>
      <c r="AK229" s="2">
        <v>46.28</v>
      </c>
      <c r="AL229" s="2">
        <v>188.34</v>
      </c>
      <c r="AM229" s="2">
        <v>98.788633636894971</v>
      </c>
      <c r="AN229" s="2">
        <v>54.432826897626661</v>
      </c>
    </row>
    <row r="230" spans="2:40" x14ac:dyDescent="0.35">
      <c r="B230" s="15">
        <v>41900</v>
      </c>
      <c r="C230" s="49" t="str">
        <f>$S$4</f>
        <v>AAPL</v>
      </c>
      <c r="D230" s="53">
        <f>CHOOSE($S$3,AJ230,AK230,AL230,AM230,AN230)</f>
        <v>100.08</v>
      </c>
      <c r="E230" s="55">
        <f t="shared" si="19"/>
        <v>2.1005259036124017E-3</v>
      </c>
      <c r="F230" s="55">
        <f t="shared" si="22"/>
        <v>2.1005259036124017E-3</v>
      </c>
      <c r="G230" s="70">
        <f t="shared" si="23"/>
        <v>7.8553606072932465E-4</v>
      </c>
      <c r="H230" s="53"/>
      <c r="I230" s="15">
        <v>41900</v>
      </c>
      <c r="J230" s="55">
        <v>5.0000000000000001E-3</v>
      </c>
      <c r="K230" s="55">
        <v>1E-4</v>
      </c>
      <c r="L230" s="55">
        <v>2.9999999999999997E-4</v>
      </c>
      <c r="M230" s="55">
        <v>0</v>
      </c>
      <c r="N230" s="70">
        <f t="shared" si="24"/>
        <v>4.4908548707753475E-3</v>
      </c>
      <c r="O230" s="70">
        <f t="shared" si="20"/>
        <v>1.9165009940357833E-4</v>
      </c>
      <c r="P230" s="70">
        <f t="shared" si="21"/>
        <v>5.9840954274353875E-4</v>
      </c>
      <c r="AI230" s="15">
        <v>41900</v>
      </c>
      <c r="AJ230" s="2">
        <v>100.08</v>
      </c>
      <c r="AK230" s="2">
        <v>45.46</v>
      </c>
      <c r="AL230" s="2">
        <v>188.1</v>
      </c>
      <c r="AM230" s="2">
        <v>99.13374388488927</v>
      </c>
      <c r="AN230" s="2">
        <v>53.915918403279463</v>
      </c>
    </row>
    <row r="231" spans="2:40" x14ac:dyDescent="0.35">
      <c r="B231" s="15">
        <v>41899</v>
      </c>
      <c r="C231" s="49" t="str">
        <f>$S$4</f>
        <v>AAPL</v>
      </c>
      <c r="D231" s="53">
        <f>CHOOSE($S$3,AJ231,AK231,AL231,AM231,AN231)</f>
        <v>99.87</v>
      </c>
      <c r="E231" s="55">
        <f t="shared" si="19"/>
        <v>7.1346330880536673E-3</v>
      </c>
      <c r="F231" s="55">
        <f t="shared" si="22"/>
        <v>7.1346330880536673E-3</v>
      </c>
      <c r="G231" s="70">
        <f t="shared" si="23"/>
        <v>5.8196432451705898E-3</v>
      </c>
      <c r="H231" s="53"/>
      <c r="I231" s="15">
        <v>41899</v>
      </c>
      <c r="J231" s="55">
        <v>1.7000000000000001E-3</v>
      </c>
      <c r="K231" s="55">
        <v>8.0000000000000004E-4</v>
      </c>
      <c r="L231" s="55">
        <v>-2E-3</v>
      </c>
      <c r="M231" s="55">
        <v>0</v>
      </c>
      <c r="N231" s="70">
        <f t="shared" si="24"/>
        <v>1.1908548707753475E-3</v>
      </c>
      <c r="O231" s="70">
        <f t="shared" si="20"/>
        <v>8.9165009940357838E-4</v>
      </c>
      <c r="P231" s="70">
        <f t="shared" si="21"/>
        <v>-1.7015904572564612E-3</v>
      </c>
      <c r="AI231" s="15">
        <v>41899</v>
      </c>
      <c r="AJ231" s="2">
        <v>99.87</v>
      </c>
      <c r="AK231" s="2">
        <v>45.31</v>
      </c>
      <c r="AL231" s="2">
        <v>187.17</v>
      </c>
      <c r="AM231" s="2">
        <v>98.784669190656444</v>
      </c>
      <c r="AN231" s="2">
        <v>53.693682846235276</v>
      </c>
    </row>
    <row r="232" spans="2:40" x14ac:dyDescent="0.35">
      <c r="B232" s="15">
        <v>41898</v>
      </c>
      <c r="C232" s="49" t="str">
        <f>$S$4</f>
        <v>AAPL</v>
      </c>
      <c r="D232" s="53">
        <f>CHOOSE($S$3,AJ232,AK232,AL232,AM232,AN232)</f>
        <v>99.16</v>
      </c>
      <c r="E232" s="55">
        <f t="shared" si="19"/>
        <v>-7.635158650332546E-3</v>
      </c>
      <c r="F232" s="55">
        <f t="shared" si="22"/>
        <v>-7.635158650332546E-3</v>
      </c>
      <c r="G232" s="70">
        <f t="shared" si="23"/>
        <v>-8.9501484932156226E-3</v>
      </c>
      <c r="H232" s="53"/>
      <c r="I232" s="15">
        <v>41898</v>
      </c>
      <c r="J232" s="55">
        <v>6.9999999999999993E-3</v>
      </c>
      <c r="K232" s="55">
        <v>-3.9000000000000003E-3</v>
      </c>
      <c r="L232" s="55">
        <v>-1.2999999999999999E-3</v>
      </c>
      <c r="M232" s="55">
        <v>0</v>
      </c>
      <c r="N232" s="70">
        <f t="shared" si="24"/>
        <v>6.4908548707753467E-3</v>
      </c>
      <c r="O232" s="70">
        <f t="shared" si="20"/>
        <v>-3.808349900596422E-3</v>
      </c>
      <c r="P232" s="70">
        <f t="shared" si="21"/>
        <v>-1.0015904572564611E-3</v>
      </c>
      <c r="AI232" s="15">
        <v>41898</v>
      </c>
      <c r="AJ232" s="2">
        <v>99.16</v>
      </c>
      <c r="AK232" s="2">
        <v>45.54</v>
      </c>
      <c r="AL232" s="2">
        <v>187.33</v>
      </c>
      <c r="AM232" s="2">
        <v>98.475749567361703</v>
      </c>
      <c r="AN232" s="2">
        <v>53.852910925240018</v>
      </c>
    </row>
    <row r="233" spans="2:40" x14ac:dyDescent="0.35">
      <c r="B233" s="15">
        <v>41897</v>
      </c>
      <c r="C233" s="49" t="str">
        <f>$S$4</f>
        <v>AAPL</v>
      </c>
      <c r="D233" s="53">
        <f>CHOOSE($S$3,AJ233,AK233,AL233,AM233,AN233)</f>
        <v>99.92</v>
      </c>
      <c r="E233" s="55">
        <f t="shared" si="19"/>
        <v>-3.001951290867908E-4</v>
      </c>
      <c r="F233" s="55">
        <f t="shared" si="22"/>
        <v>-3.001951290867908E-4</v>
      </c>
      <c r="G233" s="70">
        <f t="shared" si="23"/>
        <v>-1.6151849719698678E-3</v>
      </c>
      <c r="H233" s="53"/>
      <c r="I233" s="15">
        <v>41897</v>
      </c>
      <c r="J233" s="55">
        <v>-2.8000000000000004E-3</v>
      </c>
      <c r="K233" s="55">
        <v>-1.06E-2</v>
      </c>
      <c r="L233" s="55">
        <v>6.5000000000000006E-3</v>
      </c>
      <c r="M233" s="55">
        <v>0</v>
      </c>
      <c r="N233" s="70">
        <f t="shared" si="24"/>
        <v>-3.309145129224653E-3</v>
      </c>
      <c r="O233" s="70">
        <f t="shared" si="20"/>
        <v>-1.0508349900596422E-2</v>
      </c>
      <c r="P233" s="70">
        <f t="shared" si="21"/>
        <v>6.7984095427435394E-3</v>
      </c>
      <c r="AI233" s="15">
        <v>41897</v>
      </c>
      <c r="AJ233" s="2">
        <v>99.92</v>
      </c>
      <c r="AK233" s="2">
        <v>45.03</v>
      </c>
      <c r="AL233" s="2">
        <v>186.21</v>
      </c>
      <c r="AM233" s="2">
        <v>98.55874624514432</v>
      </c>
      <c r="AN233" s="2">
        <v>53.390376349841972</v>
      </c>
    </row>
    <row r="234" spans="2:40" x14ac:dyDescent="0.35">
      <c r="B234" s="15">
        <v>41894</v>
      </c>
      <c r="C234" s="49" t="str">
        <f>$S$4</f>
        <v>AAPL</v>
      </c>
      <c r="D234" s="53">
        <f>CHOOSE($S$3,AJ234,AK234,AL234,AM234,AN234)</f>
        <v>99.95</v>
      </c>
      <c r="E234" s="55">
        <f t="shared" si="19"/>
        <v>2.2035265326324801E-3</v>
      </c>
      <c r="F234" s="55">
        <f t="shared" si="22"/>
        <v>2.2035265326324801E-3</v>
      </c>
      <c r="G234" s="70">
        <f t="shared" si="23"/>
        <v>8.8853668974940309E-4</v>
      </c>
      <c r="H234" s="53"/>
      <c r="I234" s="15">
        <v>41894</v>
      </c>
      <c r="J234" s="55">
        <v>-5.5000000000000005E-3</v>
      </c>
      <c r="K234" s="55">
        <v>-2.3E-3</v>
      </c>
      <c r="L234" s="55">
        <v>1.4000000000000002E-3</v>
      </c>
      <c r="M234" s="55">
        <v>0</v>
      </c>
      <c r="N234" s="70">
        <f t="shared" si="24"/>
        <v>-6.0091451292246531E-3</v>
      </c>
      <c r="O234" s="70">
        <f t="shared" si="20"/>
        <v>-2.2083499005964217E-3</v>
      </c>
      <c r="P234" s="70">
        <f t="shared" si="21"/>
        <v>1.698409542743539E-3</v>
      </c>
      <c r="AI234" s="15">
        <v>41894</v>
      </c>
      <c r="AJ234" s="2">
        <v>99.95</v>
      </c>
      <c r="AK234" s="2">
        <v>45.48</v>
      </c>
      <c r="AL234" s="2">
        <v>185.7</v>
      </c>
      <c r="AM234" s="2">
        <v>98.438573415577665</v>
      </c>
      <c r="AN234" s="2">
        <v>53.584036446522759</v>
      </c>
    </row>
    <row r="235" spans="2:40" x14ac:dyDescent="0.35">
      <c r="B235" s="15">
        <v>41893</v>
      </c>
      <c r="C235" s="49" t="str">
        <f>$S$4</f>
        <v>AAPL</v>
      </c>
      <c r="D235" s="53">
        <f>CHOOSE($S$3,AJ235,AK235,AL235,AM235,AN235)</f>
        <v>99.73</v>
      </c>
      <c r="E235" s="55">
        <f t="shared" si="19"/>
        <v>4.3209633626497069E-3</v>
      </c>
      <c r="F235" s="55">
        <f t="shared" si="22"/>
        <v>4.3209633626497069E-3</v>
      </c>
      <c r="G235" s="70">
        <f t="shared" si="23"/>
        <v>3.0059735197666298E-3</v>
      </c>
      <c r="H235" s="53"/>
      <c r="I235" s="15">
        <v>41893</v>
      </c>
      <c r="J235" s="55">
        <v>1.9E-3</v>
      </c>
      <c r="K235" s="55">
        <v>4.8999999999999998E-3</v>
      </c>
      <c r="L235" s="55">
        <v>2.0999999999999999E-3</v>
      </c>
      <c r="M235" s="55">
        <v>0</v>
      </c>
      <c r="N235" s="70">
        <f t="shared" si="24"/>
        <v>1.3908548707753474E-3</v>
      </c>
      <c r="O235" s="70">
        <f t="shared" si="20"/>
        <v>4.9916500994035785E-3</v>
      </c>
      <c r="P235" s="70">
        <f t="shared" si="21"/>
        <v>2.3984095427435387E-3</v>
      </c>
      <c r="AI235" s="15">
        <v>41893</v>
      </c>
      <c r="AJ235" s="2">
        <v>99.73</v>
      </c>
      <c r="AK235" s="2">
        <v>45.77</v>
      </c>
      <c r="AL235" s="2">
        <v>186.12</v>
      </c>
      <c r="AM235" s="2">
        <v>98.441556689527303</v>
      </c>
      <c r="AN235" s="2">
        <v>53.81546969473176</v>
      </c>
    </row>
    <row r="236" spans="2:40" x14ac:dyDescent="0.35">
      <c r="B236" s="15">
        <v>41892</v>
      </c>
      <c r="C236" s="49" t="str">
        <f>$S$4</f>
        <v>AAPL</v>
      </c>
      <c r="D236" s="53">
        <f>CHOOSE($S$3,AJ236,AK236,AL236,AM236,AN236)</f>
        <v>99.3</v>
      </c>
      <c r="E236" s="55">
        <f t="shared" si="19"/>
        <v>3.026196984905203E-2</v>
      </c>
      <c r="F236" s="55">
        <f t="shared" si="22"/>
        <v>3.026196984905203E-2</v>
      </c>
      <c r="G236" s="70">
        <f t="shared" si="23"/>
        <v>2.8946980006168951E-2</v>
      </c>
      <c r="H236" s="53"/>
      <c r="I236" s="15">
        <v>41892</v>
      </c>
      <c r="J236" s="55">
        <v>4.5000000000000005E-3</v>
      </c>
      <c r="K236" s="55">
        <v>2E-3</v>
      </c>
      <c r="L236" s="55">
        <v>-3.9000000000000003E-3</v>
      </c>
      <c r="M236" s="55">
        <v>0</v>
      </c>
      <c r="N236" s="70">
        <f t="shared" si="24"/>
        <v>3.9908548707753479E-3</v>
      </c>
      <c r="O236" s="70">
        <f t="shared" si="20"/>
        <v>2.0916500994035783E-3</v>
      </c>
      <c r="P236" s="70">
        <f t="shared" si="21"/>
        <v>-3.6015904572564614E-3</v>
      </c>
      <c r="AI236" s="15">
        <v>41892</v>
      </c>
      <c r="AJ236" s="2">
        <v>99.3</v>
      </c>
      <c r="AK236" s="2">
        <v>45.62</v>
      </c>
      <c r="AL236" s="2">
        <v>185.95</v>
      </c>
      <c r="AM236" s="2">
        <v>98.184376614397308</v>
      </c>
      <c r="AN236" s="2">
        <v>53.702708928733529</v>
      </c>
    </row>
    <row r="237" spans="2:40" x14ac:dyDescent="0.35">
      <c r="B237" s="15">
        <v>41891</v>
      </c>
      <c r="C237" s="49" t="str">
        <f>$S$4</f>
        <v>AAPL</v>
      </c>
      <c r="D237" s="53">
        <f>CHOOSE($S$3,AJ237,AK237,AL237,AM237,AN237)</f>
        <v>96.34</v>
      </c>
      <c r="E237" s="55">
        <f t="shared" si="19"/>
        <v>-3.8332085267969796E-3</v>
      </c>
      <c r="F237" s="55">
        <f t="shared" si="22"/>
        <v>-3.8332085267969796E-3</v>
      </c>
      <c r="G237" s="70">
        <f t="shared" si="23"/>
        <v>-5.1481983696800571E-3</v>
      </c>
      <c r="H237" s="53"/>
      <c r="I237" s="15">
        <v>41891</v>
      </c>
      <c r="J237" s="55">
        <v>-7.1999999999999998E-3</v>
      </c>
      <c r="K237" s="55">
        <v>-4.1999999999999997E-3</v>
      </c>
      <c r="L237" s="55">
        <v>-2.0000000000000001E-4</v>
      </c>
      <c r="M237" s="55">
        <v>0</v>
      </c>
      <c r="N237" s="70">
        <f t="shared" si="24"/>
        <v>-7.7091451292246524E-3</v>
      </c>
      <c r="O237" s="70">
        <f t="shared" si="20"/>
        <v>-4.1083499005964211E-3</v>
      </c>
      <c r="P237" s="70">
        <f t="shared" si="21"/>
        <v>9.8409542743538818E-5</v>
      </c>
      <c r="AI237" s="15">
        <v>41891</v>
      </c>
      <c r="AJ237" s="2">
        <v>96.34</v>
      </c>
      <c r="AK237" s="2">
        <v>45.54</v>
      </c>
      <c r="AL237" s="2">
        <v>184.45</v>
      </c>
      <c r="AM237" s="2">
        <v>96.324993034804052</v>
      </c>
      <c r="AN237" s="2">
        <v>53.439020534160719</v>
      </c>
    </row>
    <row r="238" spans="2:40" x14ac:dyDescent="0.35">
      <c r="B238" s="15">
        <v>41890</v>
      </c>
      <c r="C238" s="49" t="str">
        <f>$S$4</f>
        <v>AAPL</v>
      </c>
      <c r="D238" s="53">
        <f>CHOOSE($S$3,AJ238,AK238,AL238,AM238,AN238)</f>
        <v>96.71</v>
      </c>
      <c r="E238" s="55">
        <f t="shared" si="19"/>
        <v>-6.1849491050258998E-3</v>
      </c>
      <c r="F238" s="55">
        <f t="shared" si="22"/>
        <v>-6.1849491050258998E-3</v>
      </c>
      <c r="G238" s="70">
        <f t="shared" si="23"/>
        <v>-7.4999389479089764E-3</v>
      </c>
      <c r="H238" s="53"/>
      <c r="I238" s="15">
        <v>41890</v>
      </c>
      <c r="J238" s="55">
        <v>-2.2000000000000001E-3</v>
      </c>
      <c r="K238" s="55">
        <v>5.1999999999999998E-3</v>
      </c>
      <c r="L238" s="55">
        <v>-4.4000000000000003E-3</v>
      </c>
      <c r="M238" s="55">
        <v>0</v>
      </c>
      <c r="N238" s="70">
        <f t="shared" si="24"/>
        <v>-2.7091451292246527E-3</v>
      </c>
      <c r="O238" s="70">
        <f t="shared" si="20"/>
        <v>5.2916500994035784E-3</v>
      </c>
      <c r="P238" s="70">
        <f t="shared" si="21"/>
        <v>-4.1015904572564614E-3</v>
      </c>
      <c r="AI238" s="15">
        <v>41890</v>
      </c>
      <c r="AJ238" s="2">
        <v>96.71</v>
      </c>
      <c r="AK238" s="2">
        <v>45.26</v>
      </c>
      <c r="AL238" s="2">
        <v>184.59</v>
      </c>
      <c r="AM238" s="2">
        <v>96.546520191780161</v>
      </c>
      <c r="AN238" s="2">
        <v>53.295017666777817</v>
      </c>
    </row>
    <row r="239" spans="2:40" x14ac:dyDescent="0.35">
      <c r="B239" s="15">
        <v>41887</v>
      </c>
      <c r="C239" s="49" t="str">
        <f>$S$4</f>
        <v>AAPL</v>
      </c>
      <c r="D239" s="53">
        <f>CHOOSE($S$3,AJ239,AK239,AL239,AM239,AN239)</f>
        <v>97.31</v>
      </c>
      <c r="E239" s="55">
        <f t="shared" si="19"/>
        <v>8.6696796514355301E-3</v>
      </c>
      <c r="F239" s="55">
        <f t="shared" si="22"/>
        <v>8.6696796514355301E-3</v>
      </c>
      <c r="G239" s="70">
        <f t="shared" si="23"/>
        <v>7.3546898085524535E-3</v>
      </c>
      <c r="H239" s="53"/>
      <c r="I239" s="15">
        <v>41887</v>
      </c>
      <c r="J239" s="55">
        <v>4.5000000000000005E-3</v>
      </c>
      <c r="K239" s="55">
        <v>-2.5999999999999999E-3</v>
      </c>
      <c r="L239" s="55">
        <v>-5.9999999999999995E-4</v>
      </c>
      <c r="M239" s="55">
        <v>0</v>
      </c>
      <c r="N239" s="70">
        <f t="shared" si="24"/>
        <v>3.9908548707753479E-3</v>
      </c>
      <c r="O239" s="70">
        <f t="shared" si="20"/>
        <v>-2.5083499005964217E-3</v>
      </c>
      <c r="P239" s="70">
        <f t="shared" si="21"/>
        <v>-3.0159045725646112E-4</v>
      </c>
      <c r="AI239" s="15">
        <v>41887</v>
      </c>
      <c r="AJ239" s="2">
        <v>97.31</v>
      </c>
      <c r="AK239" s="2">
        <v>44.71</v>
      </c>
      <c r="AL239" s="2">
        <v>185.62</v>
      </c>
      <c r="AM239" s="2">
        <v>97.115374668821019</v>
      </c>
      <c r="AN239" s="2">
        <v>53.119888194919163</v>
      </c>
    </row>
    <row r="240" spans="2:40" x14ac:dyDescent="0.35">
      <c r="B240" s="15">
        <v>41886</v>
      </c>
      <c r="C240" s="49" t="str">
        <f>$S$4</f>
        <v>AAPL</v>
      </c>
      <c r="D240" s="53">
        <f>CHOOSE($S$3,AJ240,AK240,AL240,AM240,AN240)</f>
        <v>96.47</v>
      </c>
      <c r="E240" s="55">
        <f t="shared" si="19"/>
        <v>-8.3613390353947312E-3</v>
      </c>
      <c r="F240" s="55">
        <f t="shared" si="22"/>
        <v>-8.3613390353947312E-3</v>
      </c>
      <c r="G240" s="70">
        <f t="shared" si="23"/>
        <v>-9.6763288782778078E-3</v>
      </c>
      <c r="H240" s="53"/>
      <c r="I240" s="15">
        <v>41886</v>
      </c>
      <c r="J240" s="55">
        <v>-1.7000000000000001E-3</v>
      </c>
      <c r="K240" s="55">
        <v>-1.4000000000000002E-3</v>
      </c>
      <c r="L240" s="55">
        <v>-1.5E-3</v>
      </c>
      <c r="M240" s="55">
        <v>0</v>
      </c>
      <c r="N240" s="70">
        <f t="shared" si="24"/>
        <v>-2.2091451292246527E-3</v>
      </c>
      <c r="O240" s="70">
        <f t="shared" si="20"/>
        <v>-1.308349900596422E-3</v>
      </c>
      <c r="P240" s="70">
        <f t="shared" si="21"/>
        <v>-1.2015904572564612E-3</v>
      </c>
      <c r="AI240" s="15">
        <v>41886</v>
      </c>
      <c r="AJ240" s="2">
        <v>96.47</v>
      </c>
      <c r="AK240" s="2">
        <v>44.08</v>
      </c>
      <c r="AL240" s="2">
        <v>185.12</v>
      </c>
      <c r="AM240" s="2">
        <v>96.565416051236141</v>
      </c>
      <c r="AN240" s="2">
        <v>52.674093273336005</v>
      </c>
    </row>
    <row r="241" spans="2:40" x14ac:dyDescent="0.35">
      <c r="B241" s="15">
        <v>41885</v>
      </c>
      <c r="C241" s="49" t="str">
        <f>$S$4</f>
        <v>AAPL</v>
      </c>
      <c r="D241" s="53">
        <f>CHOOSE($S$3,AJ241,AK241,AL241,AM241,AN241)</f>
        <v>97.28</v>
      </c>
      <c r="E241" s="55">
        <f t="shared" si="19"/>
        <v>-4.3056338618620814E-2</v>
      </c>
      <c r="F241" s="55">
        <f t="shared" si="22"/>
        <v>-4.3056338618620814E-2</v>
      </c>
      <c r="G241" s="70">
        <f t="shared" si="23"/>
        <v>-4.4371328461503892E-2</v>
      </c>
      <c r="H241" s="53"/>
      <c r="I241" s="15">
        <v>41885</v>
      </c>
      <c r="J241" s="55">
        <v>-1.4000000000000002E-3</v>
      </c>
      <c r="K241" s="55">
        <v>-5.4000000000000003E-3</v>
      </c>
      <c r="L241" s="55">
        <v>2.3E-3</v>
      </c>
      <c r="M241" s="55">
        <v>0</v>
      </c>
      <c r="N241" s="70">
        <f t="shared" si="24"/>
        <v>-1.9091451292246528E-3</v>
      </c>
      <c r="O241" s="70">
        <f t="shared" si="20"/>
        <v>-5.3083499005964216E-3</v>
      </c>
      <c r="P241" s="70">
        <f t="shared" si="21"/>
        <v>2.5984095427435388E-3</v>
      </c>
      <c r="AI241" s="15">
        <v>41885</v>
      </c>
      <c r="AJ241" s="2">
        <v>97.28</v>
      </c>
      <c r="AK241" s="2">
        <v>43.79</v>
      </c>
      <c r="AL241" s="2">
        <v>186.35</v>
      </c>
      <c r="AM241" s="2">
        <v>97.291623297206527</v>
      </c>
      <c r="AN241" s="2">
        <v>52.675815490710342</v>
      </c>
    </row>
    <row r="242" spans="2:40" x14ac:dyDescent="0.35">
      <c r="B242" s="15">
        <v>41884</v>
      </c>
      <c r="C242" s="49" t="str">
        <f>$S$4</f>
        <v>AAPL</v>
      </c>
      <c r="D242" s="53">
        <f>CHOOSE($S$3,AJ242,AK242,AL242,AM242,AN242)</f>
        <v>101.56</v>
      </c>
      <c r="E242" s="55">
        <f t="shared" si="19"/>
        <v>7.709833584025611E-3</v>
      </c>
      <c r="F242" s="55">
        <f t="shared" si="22"/>
        <v>7.709833584025611E-3</v>
      </c>
      <c r="G242" s="70">
        <f t="shared" si="23"/>
        <v>6.3948437411425335E-3</v>
      </c>
      <c r="H242" s="53"/>
      <c r="I242" s="15">
        <v>41884</v>
      </c>
      <c r="J242" s="55">
        <v>5.9999999999999995E-4</v>
      </c>
      <c r="K242" s="55">
        <v>4.6999999999999993E-3</v>
      </c>
      <c r="L242" s="55">
        <v>-8.9999999999999998E-4</v>
      </c>
      <c r="M242" s="55">
        <v>0</v>
      </c>
      <c r="N242" s="70">
        <f t="shared" si="24"/>
        <v>9.0854870775347357E-5</v>
      </c>
      <c r="O242" s="70">
        <f t="shared" si="20"/>
        <v>4.791650099403578E-3</v>
      </c>
      <c r="P242" s="70">
        <f t="shared" si="21"/>
        <v>-6.0159045725646115E-4</v>
      </c>
      <c r="AI242" s="15">
        <v>41884</v>
      </c>
      <c r="AJ242" s="2">
        <v>101.56</v>
      </c>
      <c r="AK242" s="2">
        <v>43.91</v>
      </c>
      <c r="AL242" s="2">
        <v>185.97</v>
      </c>
      <c r="AM242" s="2">
        <v>99.332681735857378</v>
      </c>
      <c r="AN242" s="2">
        <v>52.694283054304911</v>
      </c>
    </row>
    <row r="243" spans="2:40" x14ac:dyDescent="0.35">
      <c r="B243" s="15">
        <v>41880</v>
      </c>
      <c r="C243" s="49" t="str">
        <f>$S$4</f>
        <v>AAPL</v>
      </c>
      <c r="D243" s="53">
        <f>CHOOSE($S$3,AJ243,AK243,AL243,AM243,AN243)</f>
        <v>100.78</v>
      </c>
      <c r="E243" s="55">
        <f t="shared" si="19"/>
        <v>2.4837328351232065E-3</v>
      </c>
      <c r="F243" s="55">
        <f t="shared" si="22"/>
        <v>2.4837328351232065E-3</v>
      </c>
      <c r="G243" s="70">
        <f t="shared" si="23"/>
        <v>1.1687429922401294E-3</v>
      </c>
      <c r="H243" s="53"/>
      <c r="I243" s="15">
        <v>41880</v>
      </c>
      <c r="J243" s="55">
        <v>3.9000000000000003E-3</v>
      </c>
      <c r="K243" s="55">
        <v>2.8000000000000004E-3</v>
      </c>
      <c r="L243" s="55">
        <v>1E-3</v>
      </c>
      <c r="M243" s="55">
        <v>0</v>
      </c>
      <c r="N243" s="70">
        <f t="shared" si="24"/>
        <v>3.3908548707753477E-3</v>
      </c>
      <c r="O243" s="70">
        <f t="shared" si="20"/>
        <v>2.8916500994035786E-3</v>
      </c>
      <c r="P243" s="70">
        <f t="shared" si="21"/>
        <v>1.2984095427435388E-3</v>
      </c>
      <c r="AI243" s="15">
        <v>41880</v>
      </c>
      <c r="AJ243" s="2">
        <v>100.78</v>
      </c>
      <c r="AK243" s="2">
        <v>44.25</v>
      </c>
      <c r="AL243" s="2">
        <v>186.69</v>
      </c>
      <c r="AM243" s="2">
        <v>99.143522666053684</v>
      </c>
      <c r="AN243" s="2">
        <v>53.000297280701922</v>
      </c>
    </row>
    <row r="244" spans="2:40" x14ac:dyDescent="0.35">
      <c r="B244" s="15">
        <v>41879</v>
      </c>
      <c r="C244" s="49" t="str">
        <f>$S$4</f>
        <v>AAPL</v>
      </c>
      <c r="D244" s="53">
        <f>CHOOSE($S$3,AJ244,AK244,AL244,AM244,AN244)</f>
        <v>100.53</v>
      </c>
      <c r="E244" s="55">
        <f t="shared" si="19"/>
        <v>1.1943865259839224E-3</v>
      </c>
      <c r="F244" s="55">
        <f t="shared" si="22"/>
        <v>1.1943865259839224E-3</v>
      </c>
      <c r="G244" s="70">
        <f t="shared" si="23"/>
        <v>-1.2060331689915465E-4</v>
      </c>
      <c r="H244" s="53"/>
      <c r="I244" s="15">
        <v>41879</v>
      </c>
      <c r="J244" s="55">
        <v>-1.9E-3</v>
      </c>
      <c r="K244" s="55">
        <v>-4.1999999999999997E-3</v>
      </c>
      <c r="L244" s="55">
        <v>8.9999999999999998E-4</v>
      </c>
      <c r="M244" s="55">
        <v>0</v>
      </c>
      <c r="N244" s="70">
        <f t="shared" si="24"/>
        <v>-2.4091451292246524E-3</v>
      </c>
      <c r="O244" s="70">
        <f t="shared" si="20"/>
        <v>-4.1083499005964211E-3</v>
      </c>
      <c r="P244" s="70">
        <f t="shared" si="21"/>
        <v>1.1984095427435388E-3</v>
      </c>
      <c r="AI244" s="15">
        <v>41879</v>
      </c>
      <c r="AJ244" s="2">
        <v>100.53</v>
      </c>
      <c r="AK244" s="2">
        <v>43.71</v>
      </c>
      <c r="AL244" s="2">
        <v>186.4</v>
      </c>
      <c r="AM244" s="2">
        <v>98.943548783942859</v>
      </c>
      <c r="AN244" s="2">
        <v>52.635740908087783</v>
      </c>
    </row>
    <row r="245" spans="2:40" x14ac:dyDescent="0.35">
      <c r="B245" s="15">
        <v>41878</v>
      </c>
      <c r="C245" s="49" t="str">
        <f>$S$4</f>
        <v>AAPL</v>
      </c>
      <c r="D245" s="53">
        <f>CHOOSE($S$3,AJ245,AK245,AL245,AM245,AN245)</f>
        <v>100.41</v>
      </c>
      <c r="E245" s="55">
        <f t="shared" si="19"/>
        <v>1.2224601133442545E-2</v>
      </c>
      <c r="F245" s="55">
        <f t="shared" si="22"/>
        <v>1.2224601133442545E-2</v>
      </c>
      <c r="G245" s="70">
        <f t="shared" si="23"/>
        <v>1.0909611290559468E-2</v>
      </c>
      <c r="H245" s="53"/>
      <c r="I245" s="15">
        <v>41878</v>
      </c>
      <c r="J245" s="55">
        <v>0</v>
      </c>
      <c r="K245" s="55">
        <v>-2.3E-3</v>
      </c>
      <c r="L245" s="55">
        <v>1.5E-3</v>
      </c>
      <c r="M245" s="55">
        <v>0</v>
      </c>
      <c r="N245" s="70">
        <f t="shared" si="24"/>
        <v>-5.0914512922465259E-4</v>
      </c>
      <c r="O245" s="70">
        <f t="shared" si="20"/>
        <v>-2.2083499005964217E-3</v>
      </c>
      <c r="P245" s="70">
        <f t="shared" si="21"/>
        <v>1.7984095427435389E-3</v>
      </c>
      <c r="AI245" s="15">
        <v>41878</v>
      </c>
      <c r="AJ245" s="2">
        <v>100.41</v>
      </c>
      <c r="AK245" s="2">
        <v>43.7</v>
      </c>
      <c r="AL245" s="2">
        <v>186.64</v>
      </c>
      <c r="AM245" s="2">
        <v>98.948193199949529</v>
      </c>
      <c r="AN245" s="2">
        <v>52.663605560022738</v>
      </c>
    </row>
    <row r="246" spans="2:40" x14ac:dyDescent="0.35">
      <c r="B246" s="15">
        <v>41877</v>
      </c>
      <c r="C246" s="49" t="str">
        <f>$S$4</f>
        <v>AAPL</v>
      </c>
      <c r="D246" s="53">
        <f>CHOOSE($S$3,AJ246,AK246,AL246,AM246,AN246)</f>
        <v>99.19</v>
      </c>
      <c r="E246" s="55">
        <f t="shared" si="19"/>
        <v>-6.4315365904314813E-3</v>
      </c>
      <c r="F246" s="55">
        <f t="shared" si="22"/>
        <v>-6.4315365904314813E-3</v>
      </c>
      <c r="G246" s="70">
        <f t="shared" si="23"/>
        <v>-7.746526433314558E-3</v>
      </c>
      <c r="H246" s="53"/>
      <c r="I246" s="15">
        <v>41877</v>
      </c>
      <c r="J246" s="55">
        <v>1.9E-3</v>
      </c>
      <c r="K246" s="55">
        <v>6.9999999999999993E-3</v>
      </c>
      <c r="L246" s="55">
        <v>-3.3E-3</v>
      </c>
      <c r="M246" s="55">
        <v>0</v>
      </c>
      <c r="N246" s="70">
        <f t="shared" si="24"/>
        <v>1.3908548707753474E-3</v>
      </c>
      <c r="O246" s="70">
        <f t="shared" si="20"/>
        <v>7.0916500994035779E-3</v>
      </c>
      <c r="P246" s="70">
        <f t="shared" si="21"/>
        <v>-3.0015904572564612E-3</v>
      </c>
      <c r="AI246" s="15">
        <v>41877</v>
      </c>
      <c r="AJ246" s="2">
        <v>99.19</v>
      </c>
      <c r="AK246" s="2">
        <v>43.84</v>
      </c>
      <c r="AL246" s="2">
        <v>187.36</v>
      </c>
      <c r="AM246" s="2">
        <v>98.537929734370962</v>
      </c>
      <c r="AN246" s="2">
        <v>52.849543774707726</v>
      </c>
    </row>
    <row r="247" spans="2:40" x14ac:dyDescent="0.35">
      <c r="B247" s="15">
        <v>41876</v>
      </c>
      <c r="C247" s="49" t="str">
        <f>$S$4</f>
        <v>AAPL</v>
      </c>
      <c r="D247" s="53">
        <f>CHOOSE($S$3,AJ247,AK247,AL247,AM247,AN247)</f>
        <v>99.83</v>
      </c>
      <c r="E247" s="55">
        <f t="shared" si="19"/>
        <v>2.1057917031964387E-3</v>
      </c>
      <c r="F247" s="55">
        <f t="shared" si="22"/>
        <v>2.1057917031964387E-3</v>
      </c>
      <c r="G247" s="70">
        <f t="shared" si="23"/>
        <v>7.9080186031336161E-4</v>
      </c>
      <c r="H247" s="53"/>
      <c r="I247" s="15">
        <v>41876</v>
      </c>
      <c r="J247" s="55">
        <v>5.0000000000000001E-3</v>
      </c>
      <c r="K247" s="55">
        <v>-2.3E-3</v>
      </c>
      <c r="L247" s="55">
        <v>4.0000000000000002E-4</v>
      </c>
      <c r="M247" s="55">
        <v>0</v>
      </c>
      <c r="N247" s="70">
        <f t="shared" si="24"/>
        <v>4.4908548707753475E-3</v>
      </c>
      <c r="O247" s="70">
        <f t="shared" si="20"/>
        <v>-2.2083499005964217E-3</v>
      </c>
      <c r="P247" s="70">
        <f t="shared" si="21"/>
        <v>6.9840954274353879E-4</v>
      </c>
      <c r="AI247" s="15">
        <v>41876</v>
      </c>
      <c r="AJ247" s="2">
        <v>99.83</v>
      </c>
      <c r="AK247" s="2">
        <v>43.99</v>
      </c>
      <c r="AL247" s="2">
        <v>185.58</v>
      </c>
      <c r="AM247" s="2">
        <v>98.387749866467246</v>
      </c>
      <c r="AN247" s="2">
        <v>52.688910383763435</v>
      </c>
    </row>
    <row r="248" spans="2:40" x14ac:dyDescent="0.35">
      <c r="B248" s="15">
        <v>41873</v>
      </c>
      <c r="C248" s="49" t="str">
        <f>$S$4</f>
        <v>AAPL</v>
      </c>
      <c r="D248" s="53">
        <f>CHOOSE($S$3,AJ248,AK248,AL248,AM248,AN248)</f>
        <v>99.62</v>
      </c>
      <c r="E248" s="55">
        <f t="shared" si="19"/>
        <v>7.3548263632378487E-3</v>
      </c>
      <c r="F248" s="55">
        <f t="shared" si="22"/>
        <v>7.3548263632378487E-3</v>
      </c>
      <c r="G248" s="70">
        <f t="shared" si="23"/>
        <v>6.0398365203547712E-3</v>
      </c>
      <c r="H248" s="53"/>
      <c r="I248" s="15">
        <v>41873</v>
      </c>
      <c r="J248" s="55">
        <v>-1E-3</v>
      </c>
      <c r="K248" s="55">
        <v>3.0000000000000001E-3</v>
      </c>
      <c r="L248" s="55">
        <v>-3.9000000000000003E-3</v>
      </c>
      <c r="M248" s="55">
        <v>0</v>
      </c>
      <c r="N248" s="70">
        <f t="shared" si="24"/>
        <v>-1.5091451292246526E-3</v>
      </c>
      <c r="O248" s="70">
        <f t="shared" si="20"/>
        <v>3.0916500994035783E-3</v>
      </c>
      <c r="P248" s="70">
        <f t="shared" si="21"/>
        <v>-3.6015904572564614E-3</v>
      </c>
      <c r="AI248" s="15">
        <v>41873</v>
      </c>
      <c r="AJ248" s="2">
        <v>99.62</v>
      </c>
      <c r="AK248" s="2">
        <v>43.97</v>
      </c>
      <c r="AL248" s="2">
        <v>184.85</v>
      </c>
      <c r="AM248" s="2">
        <v>98.090757115585134</v>
      </c>
      <c r="AN248" s="2">
        <v>52.573304003710398</v>
      </c>
    </row>
    <row r="249" spans="2:40" x14ac:dyDescent="0.35">
      <c r="B249" s="15">
        <v>41872</v>
      </c>
      <c r="C249" s="49" t="str">
        <f>$S$4</f>
        <v>AAPL</v>
      </c>
      <c r="D249" s="53">
        <f>CHOOSE($S$3,AJ249,AK249,AL249,AM249,AN249)</f>
        <v>98.89</v>
      </c>
      <c r="E249" s="55">
        <f t="shared" si="19"/>
        <v>1.0112757251891427E-4</v>
      </c>
      <c r="F249" s="55">
        <f t="shared" si="22"/>
        <v>1.0112757251891427E-4</v>
      </c>
      <c r="G249" s="70">
        <f t="shared" si="23"/>
        <v>-1.2138622703641627E-3</v>
      </c>
      <c r="H249" s="53"/>
      <c r="I249" s="15">
        <v>41872</v>
      </c>
      <c r="J249" s="55">
        <v>2.8000000000000004E-3</v>
      </c>
      <c r="K249" s="55">
        <v>-1.4000000000000002E-3</v>
      </c>
      <c r="L249" s="55">
        <v>8.199999999999999E-3</v>
      </c>
      <c r="M249" s="55">
        <v>0</v>
      </c>
      <c r="N249" s="70">
        <f t="shared" si="24"/>
        <v>2.2908548707753478E-3</v>
      </c>
      <c r="O249" s="70">
        <f t="shared" si="20"/>
        <v>-1.308349900596422E-3</v>
      </c>
      <c r="P249" s="70">
        <f t="shared" si="21"/>
        <v>8.4984095427435378E-3</v>
      </c>
      <c r="AI249" s="15">
        <v>41872</v>
      </c>
      <c r="AJ249" s="2">
        <v>98.89</v>
      </c>
      <c r="AK249" s="2">
        <v>44.04</v>
      </c>
      <c r="AL249" s="2">
        <v>185.65</v>
      </c>
      <c r="AM249" s="2">
        <v>97.943620369999181</v>
      </c>
      <c r="AN249" s="2">
        <v>52.728916460158196</v>
      </c>
    </row>
    <row r="250" spans="2:40" x14ac:dyDescent="0.35">
      <c r="B250" s="15">
        <v>41871</v>
      </c>
      <c r="C250" s="49" t="str">
        <f>$S$4</f>
        <v>AAPL</v>
      </c>
      <c r="D250" s="53">
        <f>CHOOSE($S$3,AJ250,AK250,AL250,AM250,AN250)</f>
        <v>98.88</v>
      </c>
      <c r="E250" s="55">
        <f t="shared" si="19"/>
        <v>4.0461258897127751E-4</v>
      </c>
      <c r="F250" s="55">
        <f t="shared" si="22"/>
        <v>4.0461258897127751E-4</v>
      </c>
      <c r="G250" s="70">
        <f t="shared" si="23"/>
        <v>-9.1037725391179955E-4</v>
      </c>
      <c r="H250" s="53"/>
      <c r="I250" s="15">
        <v>41871</v>
      </c>
      <c r="J250" s="55">
        <v>1.9E-3</v>
      </c>
      <c r="K250" s="55">
        <v>-6.4000000000000003E-3</v>
      </c>
      <c r="L250" s="55">
        <v>2.7000000000000001E-3</v>
      </c>
      <c r="M250" s="55">
        <v>0</v>
      </c>
      <c r="N250" s="70">
        <f t="shared" si="24"/>
        <v>1.3908548707753474E-3</v>
      </c>
      <c r="O250" s="70">
        <f t="shared" si="20"/>
        <v>-6.3083499005964216E-3</v>
      </c>
      <c r="P250" s="70">
        <f t="shared" si="21"/>
        <v>2.998409542743539E-3</v>
      </c>
      <c r="AI250" s="15">
        <v>41871</v>
      </c>
      <c r="AJ250" s="2">
        <v>98.88</v>
      </c>
      <c r="AK250" s="2">
        <v>43.78</v>
      </c>
      <c r="AL250" s="2">
        <v>184.55</v>
      </c>
      <c r="AM250" s="2">
        <v>97.648503979861133</v>
      </c>
      <c r="AN250" s="2">
        <v>52.417055190538257</v>
      </c>
    </row>
    <row r="251" spans="2:40" x14ac:dyDescent="0.35">
      <c r="B251" s="15">
        <v>41870</v>
      </c>
      <c r="C251" s="49" t="str">
        <f>$S$4</f>
        <v>AAPL</v>
      </c>
      <c r="D251" s="53">
        <f>CHOOSE($S$3,AJ251,AK251,AL251,AM251,AN251)</f>
        <v>98.84</v>
      </c>
      <c r="E251" s="55">
        <f t="shared" si="19"/>
        <v>1.3752572479229149E-2</v>
      </c>
      <c r="F251" s="55">
        <f t="shared" si="22"/>
        <v>1.3752572479229149E-2</v>
      </c>
      <c r="G251" s="70">
        <f t="shared" si="23"/>
        <v>1.2437582636346072E-2</v>
      </c>
      <c r="H251" s="53"/>
      <c r="I251" s="15">
        <v>41870</v>
      </c>
      <c r="J251" s="55">
        <v>4.8999999999999998E-3</v>
      </c>
      <c r="K251" s="55">
        <v>-1.2999999999999999E-3</v>
      </c>
      <c r="L251" s="55">
        <v>-1E-3</v>
      </c>
      <c r="M251" s="55">
        <v>0</v>
      </c>
      <c r="N251" s="70">
        <f t="shared" si="24"/>
        <v>4.3908548707753473E-3</v>
      </c>
      <c r="O251" s="70">
        <f t="shared" si="20"/>
        <v>-1.2083499005964217E-3</v>
      </c>
      <c r="P251" s="70">
        <f t="shared" si="21"/>
        <v>-7.0159045725646119E-4</v>
      </c>
      <c r="AI251" s="15">
        <v>41870</v>
      </c>
      <c r="AJ251" s="2">
        <v>98.84</v>
      </c>
      <c r="AK251" s="2">
        <v>44.15</v>
      </c>
      <c r="AL251" s="2">
        <v>184.52</v>
      </c>
      <c r="AM251" s="2">
        <v>97.620816316980651</v>
      </c>
      <c r="AN251" s="2">
        <v>52.634292173946456</v>
      </c>
    </row>
    <row r="252" spans="2:40" x14ac:dyDescent="0.35">
      <c r="B252" s="15">
        <v>41869</v>
      </c>
      <c r="C252" s="49" t="str">
        <f>$S$4</f>
        <v>AAPL</v>
      </c>
      <c r="D252" s="53">
        <f>CHOOSE($S$3,AJ252,AK252,AL252,AM252,AN252)</f>
        <v>97.49</v>
      </c>
      <c r="E252" s="55">
        <f t="shared" si="19"/>
        <v>1.1970011871647777E-2</v>
      </c>
      <c r="F252" s="55">
        <f t="shared" si="22"/>
        <v>1.1970011871647777E-2</v>
      </c>
      <c r="G252" s="70">
        <f t="shared" si="23"/>
        <v>1.0655022028764701E-2</v>
      </c>
      <c r="H252" s="53"/>
      <c r="I252" s="15">
        <v>41869</v>
      </c>
      <c r="J252" s="55">
        <v>9.300000000000001E-3</v>
      </c>
      <c r="K252" s="55">
        <v>6.0000000000000001E-3</v>
      </c>
      <c r="L252" s="55">
        <v>-1.9E-3</v>
      </c>
      <c r="M252" s="55">
        <v>0</v>
      </c>
      <c r="N252" s="70">
        <f t="shared" si="24"/>
        <v>8.7908548707753484E-3</v>
      </c>
      <c r="O252" s="70">
        <f t="shared" si="20"/>
        <v>6.0916500994035788E-3</v>
      </c>
      <c r="P252" s="70">
        <f t="shared" si="21"/>
        <v>-1.6015904572564612E-3</v>
      </c>
      <c r="AI252" s="15">
        <v>41869</v>
      </c>
      <c r="AJ252" s="2">
        <v>97.49</v>
      </c>
      <c r="AK252" s="2">
        <v>43.66</v>
      </c>
      <c r="AL252" s="2">
        <v>183.83</v>
      </c>
      <c r="AM252" s="2">
        <v>96.771619185131854</v>
      </c>
      <c r="AN252" s="2">
        <v>52.243799418620227</v>
      </c>
    </row>
    <row r="253" spans="2:40" x14ac:dyDescent="0.35">
      <c r="B253" s="15">
        <v>41866</v>
      </c>
      <c r="C253" s="49" t="str">
        <f>$S$4</f>
        <v>AAPL</v>
      </c>
      <c r="D253" s="53">
        <f>CHOOSE($S$3,AJ253,AK253,AL253,AM253,AN253)</f>
        <v>96.33</v>
      </c>
      <c r="E253" s="55">
        <f t="shared" si="19"/>
        <v>4.8910030380471215E-3</v>
      </c>
      <c r="F253" s="55">
        <f t="shared" si="22"/>
        <v>4.8910030380471215E-3</v>
      </c>
      <c r="G253" s="70">
        <f t="shared" si="23"/>
        <v>3.5760131951640445E-3</v>
      </c>
      <c r="H253" s="53"/>
      <c r="I253" s="15">
        <v>41866</v>
      </c>
      <c r="J253" s="55">
        <v>0</v>
      </c>
      <c r="K253" s="55">
        <v>-1.4000000000000002E-3</v>
      </c>
      <c r="L253" s="55">
        <v>-1.5E-3</v>
      </c>
      <c r="M253" s="55">
        <v>0</v>
      </c>
      <c r="N253" s="70">
        <f t="shared" si="24"/>
        <v>-5.0914512922465259E-4</v>
      </c>
      <c r="O253" s="70">
        <f t="shared" si="20"/>
        <v>-1.308349900596422E-3</v>
      </c>
      <c r="P253" s="70">
        <f t="shared" si="21"/>
        <v>-1.2015904572564612E-3</v>
      </c>
      <c r="AI253" s="15">
        <v>41866</v>
      </c>
      <c r="AJ253" s="2">
        <v>96.33</v>
      </c>
      <c r="AK253" s="2">
        <v>43.35</v>
      </c>
      <c r="AL253" s="2">
        <v>181.91</v>
      </c>
      <c r="AM253" s="2">
        <v>95.690530753047341</v>
      </c>
      <c r="AN253" s="2">
        <v>51.785497139921489</v>
      </c>
    </row>
    <row r="254" spans="2:40" x14ac:dyDescent="0.35">
      <c r="B254" s="15">
        <v>41865</v>
      </c>
      <c r="C254" s="49" t="str">
        <f>$S$4</f>
        <v>AAPL</v>
      </c>
      <c r="D254" s="53">
        <f>CHOOSE($S$3,AJ254,AK254,AL254,AM254,AN254)</f>
        <v>95.86</v>
      </c>
      <c r="E254" s="55">
        <f t="shared" si="19"/>
        <v>2.6113766341305136E-3</v>
      </c>
      <c r="F254" s="55">
        <f t="shared" si="22"/>
        <v>2.6113766341305136E-3</v>
      </c>
      <c r="G254" s="70">
        <f t="shared" si="23"/>
        <v>1.2963867912474366E-3</v>
      </c>
      <c r="H254" s="53"/>
      <c r="I254" s="15">
        <v>41865</v>
      </c>
      <c r="J254" s="55">
        <v>4.4000000000000003E-3</v>
      </c>
      <c r="K254" s="55">
        <v>-2.3999999999999998E-3</v>
      </c>
      <c r="L254" s="55">
        <v>4.0000000000000002E-4</v>
      </c>
      <c r="M254" s="55">
        <v>0</v>
      </c>
      <c r="N254" s="70">
        <f t="shared" si="24"/>
        <v>3.8908548707753477E-3</v>
      </c>
      <c r="O254" s="70">
        <f t="shared" si="20"/>
        <v>-2.3083499005964216E-3</v>
      </c>
      <c r="P254" s="70">
        <f t="shared" si="21"/>
        <v>6.9840954274353879E-4</v>
      </c>
      <c r="AI254" s="15">
        <v>41865</v>
      </c>
      <c r="AJ254" s="2">
        <v>95.86</v>
      </c>
      <c r="AK254" s="2">
        <v>42.85</v>
      </c>
      <c r="AL254" s="2">
        <v>182.4</v>
      </c>
      <c r="AM254" s="2">
        <v>95.585968664804682</v>
      </c>
      <c r="AN254" s="2">
        <v>51.556595256690265</v>
      </c>
    </row>
    <row r="255" spans="2:40" x14ac:dyDescent="0.35">
      <c r="B255" s="15">
        <v>41864</v>
      </c>
      <c r="C255" s="49" t="str">
        <f>$S$4</f>
        <v>AAPL</v>
      </c>
      <c r="D255" s="53">
        <f>CHOOSE($S$3,AJ255,AK255,AL255,AM255,AN255)</f>
        <v>95.61</v>
      </c>
      <c r="E255" s="55">
        <f t="shared" si="19"/>
        <v>1.316016255788055E-2</v>
      </c>
      <c r="F255" s="55">
        <f t="shared" si="22"/>
        <v>1.316016255788055E-2</v>
      </c>
      <c r="G255" s="70">
        <f t="shared" si="23"/>
        <v>1.1845172714997474E-2</v>
      </c>
      <c r="H255" s="53"/>
      <c r="I255" s="15">
        <v>41864</v>
      </c>
      <c r="J255" s="55">
        <v>6.8999999999999999E-3</v>
      </c>
      <c r="K255" s="55">
        <v>-8.0000000000000004E-4</v>
      </c>
      <c r="L255" s="55">
        <v>-2.3999999999999998E-3</v>
      </c>
      <c r="M255" s="55">
        <v>0</v>
      </c>
      <c r="N255" s="70">
        <f t="shared" si="24"/>
        <v>6.3908548707753473E-3</v>
      </c>
      <c r="O255" s="70">
        <f t="shared" si="20"/>
        <v>-7.083499005964217E-4</v>
      </c>
      <c r="P255" s="70">
        <f t="shared" si="21"/>
        <v>-2.101590457256461E-3</v>
      </c>
      <c r="AI255" s="15">
        <v>41864</v>
      </c>
      <c r="AJ255" s="2">
        <v>95.61</v>
      </c>
      <c r="AK255" s="2">
        <v>42.66</v>
      </c>
      <c r="AL255" s="2">
        <v>182.46</v>
      </c>
      <c r="AM255" s="2">
        <v>95.477047373974443</v>
      </c>
      <c r="AN255" s="2">
        <v>51.450772123232383</v>
      </c>
    </row>
    <row r="256" spans="2:40" x14ac:dyDescent="0.35">
      <c r="B256" s="15">
        <v>41863</v>
      </c>
      <c r="C256" s="49" t="str">
        <f>$S$4</f>
        <v>AAPL</v>
      </c>
      <c r="D256" s="53">
        <f>CHOOSE($S$3,AJ256,AK256,AL256,AM256,AN256)</f>
        <v>94.36</v>
      </c>
      <c r="E256" s="55">
        <f t="shared" si="19"/>
        <v>-2.1193175876711888E-4</v>
      </c>
      <c r="F256" s="55">
        <f t="shared" si="22"/>
        <v>-2.1193175876711888E-4</v>
      </c>
      <c r="G256" s="70">
        <f t="shared" si="23"/>
        <v>-1.5269216016501959E-3</v>
      </c>
      <c r="H256" s="53"/>
      <c r="I256" s="15">
        <v>41863</v>
      </c>
      <c r="J256" s="55">
        <v>-2.3E-3</v>
      </c>
      <c r="K256" s="55">
        <v>-6.0000000000000001E-3</v>
      </c>
      <c r="L256" s="55">
        <v>2.5000000000000001E-3</v>
      </c>
      <c r="M256" s="55">
        <v>0</v>
      </c>
      <c r="N256" s="70">
        <f t="shared" si="24"/>
        <v>-2.8091451292246526E-3</v>
      </c>
      <c r="O256" s="70">
        <f t="shared" si="20"/>
        <v>-5.9083499005964215E-3</v>
      </c>
      <c r="P256" s="70">
        <f t="shared" si="21"/>
        <v>2.7984095427435389E-3</v>
      </c>
      <c r="AI256" s="15">
        <v>41863</v>
      </c>
      <c r="AJ256" s="2">
        <v>94.36</v>
      </c>
      <c r="AK256" s="2">
        <v>42.12</v>
      </c>
      <c r="AL256" s="2">
        <v>181.87</v>
      </c>
      <c r="AM256" s="2">
        <v>94.698549886434066</v>
      </c>
      <c r="AN256" s="2">
        <v>51.041949091089784</v>
      </c>
    </row>
    <row r="257" spans="2:40" x14ac:dyDescent="0.35">
      <c r="B257" s="15">
        <v>41862</v>
      </c>
      <c r="C257" s="49" t="str">
        <f>$S$4</f>
        <v>AAPL</v>
      </c>
      <c r="D257" s="53">
        <f>CHOOSE($S$3,AJ257,AK257,AL257,AM257,AN257)</f>
        <v>94.38</v>
      </c>
      <c r="E257" s="55">
        <f t="shared" si="19"/>
        <v>1.3118089250643788E-2</v>
      </c>
      <c r="F257" s="55">
        <f t="shared" si="22"/>
        <v>1.3118089250643788E-2</v>
      </c>
      <c r="G257" s="70">
        <f t="shared" si="23"/>
        <v>1.1803099407760712E-2</v>
      </c>
      <c r="H257" s="53"/>
      <c r="I257" s="15">
        <v>41862</v>
      </c>
      <c r="J257" s="55">
        <v>4.0000000000000001E-3</v>
      </c>
      <c r="K257" s="55">
        <v>5.8999999999999999E-3</v>
      </c>
      <c r="L257" s="55">
        <v>-2.8999999999999998E-3</v>
      </c>
      <c r="M257" s="55">
        <v>0</v>
      </c>
      <c r="N257" s="70">
        <f t="shared" si="24"/>
        <v>3.4908548707753475E-3</v>
      </c>
      <c r="O257" s="70">
        <f t="shared" si="20"/>
        <v>5.9916500994035785E-3</v>
      </c>
      <c r="P257" s="70">
        <f t="shared" si="21"/>
        <v>-2.601590457256461E-3</v>
      </c>
      <c r="AI257" s="15">
        <v>41862</v>
      </c>
      <c r="AJ257" s="2">
        <v>94.38</v>
      </c>
      <c r="AK257" s="2">
        <v>41.81</v>
      </c>
      <c r="AL257" s="2">
        <v>182</v>
      </c>
      <c r="AM257" s="2">
        <v>94.742430850707223</v>
      </c>
      <c r="AN257" s="2">
        <v>50.87235895509523</v>
      </c>
    </row>
    <row r="258" spans="2:40" x14ac:dyDescent="0.35">
      <c r="B258" s="15">
        <v>41859</v>
      </c>
      <c r="C258" s="49" t="str">
        <f>$S$4</f>
        <v>AAPL</v>
      </c>
      <c r="D258" s="53">
        <f>CHOOSE($S$3,AJ258,AK258,AL258,AM258,AN258)</f>
        <v>93.15</v>
      </c>
      <c r="E258" s="55">
        <f t="shared" si="19"/>
        <v>2.7950996481680541E-3</v>
      </c>
      <c r="F258" s="55">
        <f t="shared" si="22"/>
        <v>2.7950996481680541E-3</v>
      </c>
      <c r="G258" s="70">
        <f t="shared" si="23"/>
        <v>1.480109805284977E-3</v>
      </c>
      <c r="H258" s="53"/>
      <c r="I258" s="15">
        <v>41859</v>
      </c>
      <c r="J258" s="55">
        <v>1.1200000000000002E-2</v>
      </c>
      <c r="K258" s="55">
        <v>-2E-3</v>
      </c>
      <c r="L258" s="55">
        <v>-1.8E-3</v>
      </c>
      <c r="M258" s="55">
        <v>0</v>
      </c>
      <c r="N258" s="70">
        <f t="shared" si="24"/>
        <v>1.0690854870775349E-2</v>
      </c>
      <c r="O258" s="70">
        <f t="shared" si="20"/>
        <v>-1.9083499005964218E-3</v>
      </c>
      <c r="P258" s="70">
        <f t="shared" si="21"/>
        <v>-1.5015904572564611E-3</v>
      </c>
      <c r="AI258" s="15">
        <v>41859</v>
      </c>
      <c r="AJ258" s="2">
        <v>93.15</v>
      </c>
      <c r="AK258" s="2">
        <v>41.81</v>
      </c>
      <c r="AL258" s="2">
        <v>181.18</v>
      </c>
      <c r="AM258" s="2">
        <v>93.911638423971226</v>
      </c>
      <c r="AN258" s="2">
        <v>50.757756388218375</v>
      </c>
    </row>
    <row r="259" spans="2:40" x14ac:dyDescent="0.35">
      <c r="B259" s="15">
        <v>41858</v>
      </c>
      <c r="C259" s="49" t="str">
        <f>$S$4</f>
        <v>AAPL</v>
      </c>
      <c r="D259" s="53">
        <f>CHOOSE($S$3,AJ259,AK259,AL259,AM259,AN259)</f>
        <v>92.89</v>
      </c>
      <c r="E259" s="55">
        <f t="shared" si="19"/>
        <v>-1.0764842036340962E-4</v>
      </c>
      <c r="F259" s="55">
        <f t="shared" si="22"/>
        <v>-1.0764842036340962E-4</v>
      </c>
      <c r="G259" s="70">
        <f t="shared" si="23"/>
        <v>-1.4226382632464866E-3</v>
      </c>
      <c r="H259" s="53"/>
      <c r="I259" s="15">
        <v>41858</v>
      </c>
      <c r="J259" s="55">
        <v>-5.1999999999999998E-3</v>
      </c>
      <c r="K259" s="55">
        <v>-4.0000000000000002E-4</v>
      </c>
      <c r="L259" s="55">
        <v>-1.4000000000000002E-3</v>
      </c>
      <c r="M259" s="55">
        <v>0</v>
      </c>
      <c r="N259" s="70">
        <f t="shared" si="24"/>
        <v>-5.7091451292246524E-3</v>
      </c>
      <c r="O259" s="70">
        <f t="shared" si="20"/>
        <v>-3.0834990059642174E-4</v>
      </c>
      <c r="P259" s="70">
        <f t="shared" si="21"/>
        <v>-1.1015904572564614E-3</v>
      </c>
      <c r="AI259" s="15">
        <v>41858</v>
      </c>
      <c r="AJ259" s="2">
        <v>92.89</v>
      </c>
      <c r="AK259" s="2">
        <v>41.84</v>
      </c>
      <c r="AL259" s="2">
        <v>178.92</v>
      </c>
      <c r="AM259" s="2">
        <v>93.194858784115013</v>
      </c>
      <c r="AN259" s="2">
        <v>50.459395918779393</v>
      </c>
    </row>
    <row r="260" spans="2:40" x14ac:dyDescent="0.35">
      <c r="B260" s="15">
        <v>41857</v>
      </c>
      <c r="C260" s="49" t="str">
        <f>$S$4</f>
        <v>AAPL</v>
      </c>
      <c r="D260" s="53">
        <f>CHOOSE($S$3,AJ260,AK260,AL260,AM260,AN260)</f>
        <v>92.9</v>
      </c>
      <c r="E260" s="55">
        <f t="shared" si="19"/>
        <v>-1.7208005967095737E-3</v>
      </c>
      <c r="F260" s="55">
        <f t="shared" si="22"/>
        <v>-1.7208005967095737E-3</v>
      </c>
      <c r="G260" s="70">
        <f t="shared" si="23"/>
        <v>-3.0357904395926505E-3</v>
      </c>
      <c r="H260" s="53"/>
      <c r="I260" s="15">
        <v>41857</v>
      </c>
      <c r="J260" s="55">
        <v>2.0000000000000001E-4</v>
      </c>
      <c r="K260" s="55">
        <v>3.7000000000000002E-3</v>
      </c>
      <c r="L260" s="55">
        <v>1.8E-3</v>
      </c>
      <c r="M260" s="55">
        <v>0</v>
      </c>
      <c r="N260" s="70">
        <f t="shared" si="24"/>
        <v>-3.0914512922465261E-4</v>
      </c>
      <c r="O260" s="70">
        <f t="shared" si="20"/>
        <v>3.7916500994035784E-3</v>
      </c>
      <c r="P260" s="70">
        <f t="shared" si="21"/>
        <v>2.0984095427435388E-3</v>
      </c>
      <c r="AI260" s="15">
        <v>41857</v>
      </c>
      <c r="AJ260" s="2">
        <v>92.9</v>
      </c>
      <c r="AK260" s="2">
        <v>41.37</v>
      </c>
      <c r="AL260" s="2">
        <v>180.54</v>
      </c>
      <c r="AM260" s="2">
        <v>93.621783508196515</v>
      </c>
      <c r="AN260" s="2">
        <v>50.404421828802633</v>
      </c>
    </row>
    <row r="261" spans="2:40" x14ac:dyDescent="0.35">
      <c r="B261" s="15">
        <v>41856</v>
      </c>
      <c r="C261" s="49" t="str">
        <f>$S$4</f>
        <v>AAPL</v>
      </c>
      <c r="D261" s="53">
        <f>CHOOSE($S$3,AJ261,AK261,AL261,AM261,AN261)</f>
        <v>93.06</v>
      </c>
      <c r="E261" s="55">
        <f t="shared" si="19"/>
        <v>-4.9308707473104015E-3</v>
      </c>
      <c r="F261" s="55">
        <f t="shared" si="22"/>
        <v>-4.9308707473104015E-3</v>
      </c>
      <c r="G261" s="70">
        <f t="shared" si="23"/>
        <v>-6.2458605901934781E-3</v>
      </c>
      <c r="H261" s="53"/>
      <c r="I261" s="15">
        <v>41856</v>
      </c>
      <c r="J261" s="55">
        <v>-8.3999999999999995E-3</v>
      </c>
      <c r="K261" s="55">
        <v>7.7000000000000002E-3</v>
      </c>
      <c r="L261" s="55">
        <v>-1.9E-3</v>
      </c>
      <c r="M261" s="55">
        <v>0</v>
      </c>
      <c r="N261" s="70">
        <f t="shared" si="24"/>
        <v>-8.9091451292246521E-3</v>
      </c>
      <c r="O261" s="70">
        <f t="shared" si="20"/>
        <v>7.7916500994035789E-3</v>
      </c>
      <c r="P261" s="70">
        <f t="shared" si="21"/>
        <v>-1.6015904572564612E-3</v>
      </c>
      <c r="AI261" s="15">
        <v>41856</v>
      </c>
      <c r="AJ261" s="2">
        <v>93.06</v>
      </c>
      <c r="AK261" s="2">
        <v>41.7</v>
      </c>
      <c r="AL261" s="2">
        <v>180.57</v>
      </c>
      <c r="AM261" s="2">
        <v>93.710183545429871</v>
      </c>
      <c r="AN261" s="2">
        <v>50.609642498310009</v>
      </c>
    </row>
    <row r="262" spans="2:40" x14ac:dyDescent="0.35">
      <c r="B262" s="15">
        <v>41855</v>
      </c>
      <c r="C262" s="49" t="str">
        <f>$S$4</f>
        <v>AAPL</v>
      </c>
      <c r="D262" s="53">
        <f>CHOOSE($S$3,AJ262,AK262,AL262,AM262,AN262)</f>
        <v>93.52</v>
      </c>
      <c r="E262" s="55">
        <f t="shared" si="19"/>
        <v>-5.6512385832263807E-3</v>
      </c>
      <c r="F262" s="55">
        <f t="shared" si="22"/>
        <v>-5.6512385832263807E-3</v>
      </c>
      <c r="G262" s="70">
        <f t="shared" si="23"/>
        <v>-6.9662284261094581E-3</v>
      </c>
      <c r="H262" s="53"/>
      <c r="I262" s="15">
        <v>41855</v>
      </c>
      <c r="J262" s="55">
        <v>7.4000000000000003E-3</v>
      </c>
      <c r="K262" s="55">
        <v>2.0000000000000001E-4</v>
      </c>
      <c r="L262" s="55">
        <v>-2.2000000000000001E-3</v>
      </c>
      <c r="M262" s="55">
        <v>0</v>
      </c>
      <c r="N262" s="70">
        <f t="shared" si="24"/>
        <v>6.8908548707753477E-3</v>
      </c>
      <c r="O262" s="70">
        <f t="shared" si="20"/>
        <v>2.9165009940357832E-4</v>
      </c>
      <c r="P262" s="70">
        <f t="shared" si="21"/>
        <v>-1.9015904572564613E-3</v>
      </c>
      <c r="AI262" s="15">
        <v>41855</v>
      </c>
      <c r="AJ262" s="2">
        <v>93.52</v>
      </c>
      <c r="AK262" s="2">
        <v>41.98</v>
      </c>
      <c r="AL262" s="2">
        <v>183.02</v>
      </c>
      <c r="AM262" s="2">
        <v>94.577527183544959</v>
      </c>
      <c r="AN262" s="2">
        <v>51.122894459073841</v>
      </c>
    </row>
    <row r="263" spans="2:40" x14ac:dyDescent="0.35">
      <c r="B263" s="15">
        <v>41852</v>
      </c>
      <c r="C263" s="49" t="str">
        <f>$S$4</f>
        <v>AAPL</v>
      </c>
      <c r="D263" s="53">
        <f>CHOOSE($S$3,AJ263,AK263,AL263,AM263,AN263)</f>
        <v>94.05</v>
      </c>
      <c r="E263" s="55">
        <f t="shared" si="19"/>
        <v>5.544315300579695E-3</v>
      </c>
      <c r="F263" s="55">
        <f t="shared" si="22"/>
        <v>5.544315300579695E-3</v>
      </c>
      <c r="G263" s="70">
        <f t="shared" si="23"/>
        <v>4.2293254576966175E-3</v>
      </c>
      <c r="H263" s="53"/>
      <c r="I263" s="15">
        <v>41852</v>
      </c>
      <c r="J263" s="55">
        <v>-3.2000000000000002E-3</v>
      </c>
      <c r="K263" s="55">
        <v>-1.8E-3</v>
      </c>
      <c r="L263" s="55">
        <v>-5.9999999999999995E-4</v>
      </c>
      <c r="M263" s="55">
        <v>0</v>
      </c>
      <c r="N263" s="70">
        <f t="shared" si="24"/>
        <v>-3.7091451292246527E-3</v>
      </c>
      <c r="O263" s="70">
        <f t="shared" si="20"/>
        <v>-1.7083499005964217E-3</v>
      </c>
      <c r="P263" s="70">
        <f t="shared" si="21"/>
        <v>-3.0159045725646112E-4</v>
      </c>
      <c r="AI263" s="15">
        <v>41852</v>
      </c>
      <c r="AJ263" s="2">
        <v>94.05</v>
      </c>
      <c r="AK263" s="2">
        <v>41.48</v>
      </c>
      <c r="AL263" s="2">
        <v>182.55</v>
      </c>
      <c r="AM263" s="2">
        <v>94.724085068324243</v>
      </c>
      <c r="AN263" s="2">
        <v>50.752804096135819</v>
      </c>
    </row>
    <row r="264" spans="2:40" x14ac:dyDescent="0.35">
      <c r="B264" s="15">
        <v>41851</v>
      </c>
      <c r="C264" s="49" t="str">
        <f>$S$4</f>
        <v>AAPL</v>
      </c>
      <c r="D264" s="53">
        <f>CHOOSE($S$3,AJ264,AK264,AL264,AM264,AN264)</f>
        <v>93.53</v>
      </c>
      <c r="E264" s="55">
        <f t="shared" si="19"/>
        <v>-2.6274262656334667E-2</v>
      </c>
      <c r="F264" s="55">
        <f t="shared" si="22"/>
        <v>-2.6274262656334667E-2</v>
      </c>
      <c r="G264" s="70">
        <f t="shared" si="23"/>
        <v>-2.7589252499217745E-2</v>
      </c>
      <c r="H264" s="53"/>
      <c r="I264" s="15">
        <v>41851</v>
      </c>
      <c r="J264" s="55">
        <v>-2.0299999999999999E-2</v>
      </c>
      <c r="K264" s="55">
        <v>-2E-3</v>
      </c>
      <c r="L264" s="55">
        <v>4.5999999999999999E-3</v>
      </c>
      <c r="M264" s="55">
        <v>0</v>
      </c>
      <c r="N264" s="70">
        <f t="shared" si="24"/>
        <v>-2.0809145129224653E-2</v>
      </c>
      <c r="O264" s="70">
        <f t="shared" si="20"/>
        <v>-1.9083499005964218E-3</v>
      </c>
      <c r="P264" s="70">
        <f t="shared" si="21"/>
        <v>4.8984095427435387E-3</v>
      </c>
      <c r="AI264" s="15">
        <v>41851</v>
      </c>
      <c r="AJ264" s="2">
        <v>93.53</v>
      </c>
      <c r="AK264" s="2">
        <v>41.77</v>
      </c>
      <c r="AL264" s="2">
        <v>184.98</v>
      </c>
      <c r="AM264" s="2">
        <v>95.092677681548608</v>
      </c>
      <c r="AN264" s="2">
        <v>51.268014656223528</v>
      </c>
    </row>
    <row r="265" spans="2:40" x14ac:dyDescent="0.35">
      <c r="B265" s="15">
        <v>41850</v>
      </c>
      <c r="C265" s="49" t="str">
        <f>$S$4</f>
        <v>AAPL</v>
      </c>
      <c r="D265" s="53">
        <f>CHOOSE($S$3,AJ265,AK265,AL265,AM265,AN265)</f>
        <v>96.02</v>
      </c>
      <c r="E265" s="55">
        <f t="shared" si="19"/>
        <v>-2.3924700650993073E-3</v>
      </c>
      <c r="F265" s="55">
        <f t="shared" si="22"/>
        <v>-2.3924700650993073E-3</v>
      </c>
      <c r="G265" s="70">
        <f t="shared" si="23"/>
        <v>-3.7074599079823843E-3</v>
      </c>
      <c r="H265" s="53"/>
      <c r="I265" s="15">
        <v>41850</v>
      </c>
      <c r="J265" s="55">
        <v>1.1999999999999999E-3</v>
      </c>
      <c r="K265" s="55">
        <v>4.3E-3</v>
      </c>
      <c r="L265" s="55">
        <v>-2.8999999999999998E-3</v>
      </c>
      <c r="M265" s="55">
        <v>0</v>
      </c>
      <c r="N265" s="70">
        <f t="shared" si="24"/>
        <v>6.908548707753473E-4</v>
      </c>
      <c r="O265" s="70">
        <f t="shared" si="20"/>
        <v>4.3916500994035787E-3</v>
      </c>
      <c r="P265" s="70">
        <f t="shared" si="21"/>
        <v>-2.601590457256461E-3</v>
      </c>
      <c r="AI265" s="15">
        <v>41850</v>
      </c>
      <c r="AJ265" s="2">
        <v>96.02</v>
      </c>
      <c r="AK265" s="2">
        <v>42.18</v>
      </c>
      <c r="AL265" s="2">
        <v>187.23</v>
      </c>
      <c r="AM265" s="2">
        <v>96.936807659810555</v>
      </c>
      <c r="AN265" s="2">
        <v>51.831427946009129</v>
      </c>
    </row>
    <row r="266" spans="2:40" x14ac:dyDescent="0.35">
      <c r="B266" s="15">
        <v>41849</v>
      </c>
      <c r="C266" s="49" t="str">
        <f>$S$4</f>
        <v>AAPL</v>
      </c>
      <c r="D266" s="53">
        <f>CHOOSE($S$3,AJ266,AK266,AL266,AM266,AN266)</f>
        <v>96.25</v>
      </c>
      <c r="E266" s="55">
        <f t="shared" si="19"/>
        <v>-6.4209002704000012E-3</v>
      </c>
      <c r="F266" s="55">
        <f t="shared" si="22"/>
        <v>-6.4209002704000012E-3</v>
      </c>
      <c r="G266" s="70">
        <f t="shared" si="23"/>
        <v>-7.7358901132830778E-3</v>
      </c>
      <c r="H266" s="53"/>
      <c r="I266" s="15">
        <v>41849</v>
      </c>
      <c r="J266" s="55">
        <v>-3.3E-3</v>
      </c>
      <c r="K266" s="55">
        <v>6.9999999999999993E-3</v>
      </c>
      <c r="L266" s="55">
        <v>-6.7000000000000002E-3</v>
      </c>
      <c r="M266" s="55">
        <v>0</v>
      </c>
      <c r="N266" s="70">
        <f t="shared" si="24"/>
        <v>-3.8091451292246526E-3</v>
      </c>
      <c r="O266" s="70">
        <f t="shared" si="20"/>
        <v>7.0916500994035779E-3</v>
      </c>
      <c r="P266" s="70">
        <f t="shared" si="21"/>
        <v>-6.4015904572564614E-3</v>
      </c>
      <c r="AI266" s="15">
        <v>41849</v>
      </c>
      <c r="AJ266" s="2">
        <v>96.25</v>
      </c>
      <c r="AK266" s="2">
        <v>42.48</v>
      </c>
      <c r="AL266" s="2">
        <v>187.78</v>
      </c>
      <c r="AM266" s="2">
        <v>97.195284700572657</v>
      </c>
      <c r="AN266" s="2">
        <v>52.091879289493221</v>
      </c>
    </row>
    <row r="267" spans="2:40" x14ac:dyDescent="0.35">
      <c r="B267" s="15">
        <v>41848</v>
      </c>
      <c r="C267" s="49" t="str">
        <f>$S$4</f>
        <v>AAPL</v>
      </c>
      <c r="D267" s="53">
        <f>CHOOSE($S$3,AJ267,AK267,AL267,AM267,AN267)</f>
        <v>96.87</v>
      </c>
      <c r="E267" s="55">
        <f t="shared" si="19"/>
        <v>1.3720202752011541E-2</v>
      </c>
      <c r="F267" s="55">
        <f t="shared" si="22"/>
        <v>1.3720202752011541E-2</v>
      </c>
      <c r="G267" s="70">
        <f t="shared" si="23"/>
        <v>1.2405212909128464E-2</v>
      </c>
      <c r="H267" s="53"/>
      <c r="I267" s="15">
        <v>41848</v>
      </c>
      <c r="J267" s="55">
        <v>-8.0000000000000004E-4</v>
      </c>
      <c r="K267" s="55">
        <v>-4.6999999999999993E-3</v>
      </c>
      <c r="L267" s="55">
        <v>2.8000000000000004E-3</v>
      </c>
      <c r="M267" s="55">
        <v>0</v>
      </c>
      <c r="N267" s="70">
        <f t="shared" si="24"/>
        <v>-1.3091451292246525E-3</v>
      </c>
      <c r="O267" s="70">
        <f t="shared" si="20"/>
        <v>-4.6083499005964207E-3</v>
      </c>
      <c r="P267" s="70">
        <f t="shared" si="21"/>
        <v>3.0984095427435392E-3</v>
      </c>
      <c r="AI267" s="15">
        <v>41848</v>
      </c>
      <c r="AJ267" s="2">
        <v>96.87</v>
      </c>
      <c r="AK267" s="2">
        <v>42.56</v>
      </c>
      <c r="AL267" s="2">
        <v>188.95</v>
      </c>
      <c r="AM267" s="2">
        <v>97.811126365140311</v>
      </c>
      <c r="AN267" s="2">
        <v>52.303214342087948</v>
      </c>
    </row>
    <row r="268" spans="2:40" x14ac:dyDescent="0.35">
      <c r="B268" s="15">
        <v>41845</v>
      </c>
      <c r="C268" s="49" t="str">
        <f>$S$4</f>
        <v>AAPL</v>
      </c>
      <c r="D268" s="53">
        <f>CHOOSE($S$3,AJ268,AK268,AL268,AM268,AN268)</f>
        <v>95.55</v>
      </c>
      <c r="E268" s="55">
        <f t="shared" ref="E268:E331" si="25">LN(D268/D269)</f>
        <v>6.5098927925748198E-3</v>
      </c>
      <c r="F268" s="55">
        <f t="shared" si="22"/>
        <v>6.5098927925748198E-3</v>
      </c>
      <c r="G268" s="70">
        <f t="shared" si="23"/>
        <v>5.1949029496917432E-3</v>
      </c>
      <c r="H268" s="53"/>
      <c r="I268" s="15">
        <v>41845</v>
      </c>
      <c r="J268" s="55">
        <v>-5.3E-3</v>
      </c>
      <c r="K268" s="55">
        <v>-3.7000000000000002E-3</v>
      </c>
      <c r="L268" s="55">
        <v>1.6000000000000001E-3</v>
      </c>
      <c r="M268" s="55">
        <v>0</v>
      </c>
      <c r="N268" s="70">
        <f t="shared" si="24"/>
        <v>-5.8091451292246526E-3</v>
      </c>
      <c r="O268" s="70">
        <f t="shared" ref="O268:O331" si="26">K268-K$10</f>
        <v>-3.6083499005964219E-3</v>
      </c>
      <c r="P268" s="70">
        <f t="shared" ref="P268:P331" si="27">L268-L$10</f>
        <v>1.8984095427435389E-3</v>
      </c>
      <c r="AI268" s="15">
        <v>41845</v>
      </c>
      <c r="AJ268" s="2">
        <v>95.55</v>
      </c>
      <c r="AK268" s="2">
        <v>43.07</v>
      </c>
      <c r="AL268" s="2">
        <v>187.62</v>
      </c>
      <c r="AM268" s="2">
        <v>96.80047290277507</v>
      </c>
      <c r="AN268" s="2">
        <v>52.432512687469938</v>
      </c>
    </row>
    <row r="269" spans="2:40" x14ac:dyDescent="0.35">
      <c r="B269" s="15">
        <v>41844</v>
      </c>
      <c r="C269" s="49" t="str">
        <f>$S$4</f>
        <v>AAPL</v>
      </c>
      <c r="D269" s="53">
        <f>CHOOSE($S$3,AJ269,AK269,AL269,AM269,AN269)</f>
        <v>94.93</v>
      </c>
      <c r="E269" s="55">
        <f t="shared" si="25"/>
        <v>-1.5788645982859121E-3</v>
      </c>
      <c r="F269" s="55">
        <f t="shared" ref="F269:F332" si="28">E269-M269</f>
        <v>-1.5788645982859121E-3</v>
      </c>
      <c r="G269" s="70">
        <f t="shared" ref="G269:G332" si="29">F269-$F$10</f>
        <v>-2.8938544411689889E-3</v>
      </c>
      <c r="H269" s="53"/>
      <c r="I269" s="15">
        <v>41844</v>
      </c>
      <c r="J269" s="55">
        <v>5.0000000000000001E-4</v>
      </c>
      <c r="K269" s="55">
        <v>-2.8000000000000004E-3</v>
      </c>
      <c r="L269" s="55">
        <v>4.0000000000000002E-4</v>
      </c>
      <c r="M269" s="55">
        <v>0</v>
      </c>
      <c r="N269" s="70">
        <f t="shared" ref="N269:N332" si="30">J269-J$10</f>
        <v>-9.1451292246525796E-6</v>
      </c>
      <c r="O269" s="70">
        <f t="shared" si="26"/>
        <v>-2.7083499005964222E-3</v>
      </c>
      <c r="P269" s="70">
        <f t="shared" si="27"/>
        <v>6.9840954274353879E-4</v>
      </c>
      <c r="AI269" s="15">
        <v>41844</v>
      </c>
      <c r="AJ269" s="2">
        <v>94.93</v>
      </c>
      <c r="AK269" s="2">
        <v>42.97</v>
      </c>
      <c r="AL269" s="2">
        <v>188.43</v>
      </c>
      <c r="AM269" s="2">
        <v>96.695371190244444</v>
      </c>
      <c r="AN269" s="2">
        <v>52.484825529506686</v>
      </c>
    </row>
    <row r="270" spans="2:40" x14ac:dyDescent="0.35">
      <c r="B270" s="15">
        <v>41843</v>
      </c>
      <c r="C270" s="49" t="str">
        <f>$S$4</f>
        <v>AAPL</v>
      </c>
      <c r="D270" s="53">
        <f>CHOOSE($S$3,AJ270,AK270,AL270,AM270,AN270)</f>
        <v>95.08</v>
      </c>
      <c r="E270" s="55">
        <f t="shared" si="25"/>
        <v>2.5673846893393071E-2</v>
      </c>
      <c r="F270" s="55">
        <f t="shared" si="28"/>
        <v>2.5673846893393071E-2</v>
      </c>
      <c r="G270" s="70">
        <f t="shared" si="29"/>
        <v>2.4358857050509993E-2</v>
      </c>
      <c r="H270" s="53"/>
      <c r="I270" s="15">
        <v>41843</v>
      </c>
      <c r="J270" s="55">
        <v>1.9E-3</v>
      </c>
      <c r="K270" s="55">
        <v>1.2999999999999999E-3</v>
      </c>
      <c r="L270" s="55">
        <v>-7.4999999999999997E-3</v>
      </c>
      <c r="M270" s="55">
        <v>0</v>
      </c>
      <c r="N270" s="70">
        <f t="shared" si="30"/>
        <v>1.3908548707753474E-3</v>
      </c>
      <c r="O270" s="70">
        <f t="shared" si="26"/>
        <v>1.3916500994035782E-3</v>
      </c>
      <c r="P270" s="70">
        <f t="shared" si="27"/>
        <v>-7.2015904572564609E-3</v>
      </c>
      <c r="AI270" s="15">
        <v>41843</v>
      </c>
      <c r="AJ270" s="2">
        <v>95.08</v>
      </c>
      <c r="AK270" s="2">
        <v>43.43</v>
      </c>
      <c r="AL270" s="2">
        <v>186.87</v>
      </c>
      <c r="AM270" s="2">
        <v>96.371498514287154</v>
      </c>
      <c r="AN270" s="2">
        <v>52.548495045816765</v>
      </c>
    </row>
    <row r="271" spans="2:40" x14ac:dyDescent="0.35">
      <c r="B271" s="15">
        <v>41842</v>
      </c>
      <c r="C271" s="49" t="str">
        <f>$S$4</f>
        <v>AAPL</v>
      </c>
      <c r="D271" s="53">
        <f>CHOOSE($S$3,AJ271,AK271,AL271,AM271,AN271)</f>
        <v>92.67</v>
      </c>
      <c r="E271" s="55">
        <f t="shared" si="25"/>
        <v>8.3437662369585594E-3</v>
      </c>
      <c r="F271" s="55">
        <f t="shared" si="28"/>
        <v>8.3437662369585594E-3</v>
      </c>
      <c r="G271" s="70">
        <f t="shared" si="29"/>
        <v>7.0287763940754828E-3</v>
      </c>
      <c r="H271" s="53"/>
      <c r="I271" s="15">
        <v>41842</v>
      </c>
      <c r="J271" s="55">
        <v>5.3E-3</v>
      </c>
      <c r="K271" s="55">
        <v>2.3999999999999998E-3</v>
      </c>
      <c r="L271" s="55">
        <v>-3.2000000000000002E-3</v>
      </c>
      <c r="M271" s="55">
        <v>0</v>
      </c>
      <c r="N271" s="70">
        <f t="shared" si="30"/>
        <v>4.7908548707753474E-3</v>
      </c>
      <c r="O271" s="70">
        <f t="shared" si="26"/>
        <v>2.491650099403578E-3</v>
      </c>
      <c r="P271" s="70">
        <f t="shared" si="27"/>
        <v>-2.9015904572564613E-3</v>
      </c>
      <c r="AI271" s="15">
        <v>41842</v>
      </c>
      <c r="AJ271" s="2">
        <v>92.67</v>
      </c>
      <c r="AK271" s="2">
        <v>43.39</v>
      </c>
      <c r="AL271" s="2">
        <v>187.32</v>
      </c>
      <c r="AM271" s="2">
        <v>95.266166336790391</v>
      </c>
      <c r="AN271" s="2">
        <v>52.587566660907171</v>
      </c>
    </row>
    <row r="272" spans="2:40" x14ac:dyDescent="0.35">
      <c r="B272" s="15">
        <v>41841</v>
      </c>
      <c r="C272" s="49" t="str">
        <f>$S$4</f>
        <v>AAPL</v>
      </c>
      <c r="D272" s="53">
        <f>CHOOSE($S$3,AJ272,AK272,AL272,AM272,AN272)</f>
        <v>91.9</v>
      </c>
      <c r="E272" s="55">
        <f t="shared" si="25"/>
        <v>-5.209475640817883E-3</v>
      </c>
      <c r="F272" s="55">
        <f t="shared" si="28"/>
        <v>-5.209475640817883E-3</v>
      </c>
      <c r="G272" s="70">
        <f t="shared" si="29"/>
        <v>-6.5244654837009596E-3</v>
      </c>
      <c r="H272" s="53"/>
      <c r="I272" s="15">
        <v>41841</v>
      </c>
      <c r="J272" s="55">
        <v>-2.5000000000000001E-3</v>
      </c>
      <c r="K272" s="55">
        <v>-2.3999999999999998E-3</v>
      </c>
      <c r="L272" s="55">
        <v>5.0000000000000001E-4</v>
      </c>
      <c r="M272" s="55">
        <v>0</v>
      </c>
      <c r="N272" s="70">
        <f t="shared" si="30"/>
        <v>-3.0091451292246526E-3</v>
      </c>
      <c r="O272" s="70">
        <f t="shared" si="26"/>
        <v>-2.3083499005964216E-3</v>
      </c>
      <c r="P272" s="70">
        <f t="shared" si="27"/>
        <v>7.9840954274353884E-4</v>
      </c>
      <c r="AI272" s="15">
        <v>41841</v>
      </c>
      <c r="AJ272" s="2">
        <v>91.9</v>
      </c>
      <c r="AK272" s="2">
        <v>43.4</v>
      </c>
      <c r="AL272" s="2">
        <v>184.19</v>
      </c>
      <c r="AM272" s="2">
        <v>94.074461476845485</v>
      </c>
      <c r="AN272" s="2">
        <v>52.154273864321475</v>
      </c>
    </row>
    <row r="273" spans="2:40" x14ac:dyDescent="0.35">
      <c r="B273" s="15">
        <v>41838</v>
      </c>
      <c r="C273" s="49" t="str">
        <f>$S$4</f>
        <v>AAPL</v>
      </c>
      <c r="D273" s="53">
        <f>CHOOSE($S$3,AJ273,AK273,AL273,AM273,AN273)</f>
        <v>92.38</v>
      </c>
      <c r="E273" s="55">
        <f t="shared" si="25"/>
        <v>1.4282063422732204E-2</v>
      </c>
      <c r="F273" s="55">
        <f t="shared" si="28"/>
        <v>1.4282063422732204E-2</v>
      </c>
      <c r="G273" s="70">
        <f t="shared" si="29"/>
        <v>1.2967073579849128E-2</v>
      </c>
      <c r="H273" s="53"/>
      <c r="I273" s="15">
        <v>41838</v>
      </c>
      <c r="J273" s="55">
        <v>1.1200000000000002E-2</v>
      </c>
      <c r="K273" s="55">
        <v>4.8999999999999998E-3</v>
      </c>
      <c r="L273" s="55">
        <v>-4.6999999999999993E-3</v>
      </c>
      <c r="M273" s="55">
        <v>0</v>
      </c>
      <c r="N273" s="70">
        <f t="shared" si="30"/>
        <v>1.0690854870775349E-2</v>
      </c>
      <c r="O273" s="70">
        <f t="shared" si="26"/>
        <v>4.9916500994035785E-3</v>
      </c>
      <c r="P273" s="70">
        <f t="shared" si="27"/>
        <v>-4.4015904572564605E-3</v>
      </c>
      <c r="AI273" s="15">
        <v>41838</v>
      </c>
      <c r="AJ273" s="2">
        <v>92.38</v>
      </c>
      <c r="AK273" s="2">
        <v>43.25</v>
      </c>
      <c r="AL273" s="2">
        <v>185.78</v>
      </c>
      <c r="AM273" s="2">
        <v>94.726183899715579</v>
      </c>
      <c r="AN273" s="2">
        <v>52.289253539112622</v>
      </c>
    </row>
    <row r="274" spans="2:40" x14ac:dyDescent="0.35">
      <c r="B274" s="15">
        <v>41837</v>
      </c>
      <c r="C274" s="49" t="str">
        <f>$S$4</f>
        <v>AAPL</v>
      </c>
      <c r="D274" s="53">
        <f>CHOOSE($S$3,AJ274,AK274,AL274,AM274,AN274)</f>
        <v>91.07</v>
      </c>
      <c r="E274" s="55">
        <f t="shared" si="25"/>
        <v>-1.8063603232407507E-2</v>
      </c>
      <c r="F274" s="55">
        <f t="shared" si="28"/>
        <v>-1.8063603232407507E-2</v>
      </c>
      <c r="G274" s="70">
        <f t="shared" si="29"/>
        <v>-1.9378593075290586E-2</v>
      </c>
      <c r="H274" s="53"/>
      <c r="I274" s="15">
        <v>41837</v>
      </c>
      <c r="J274" s="55">
        <v>-1.21E-2</v>
      </c>
      <c r="K274" s="55">
        <v>-3.9000000000000003E-3</v>
      </c>
      <c r="L274" s="55">
        <v>1.8E-3</v>
      </c>
      <c r="M274" s="55">
        <v>0</v>
      </c>
      <c r="N274" s="70">
        <f t="shared" si="30"/>
        <v>-1.2609145129224652E-2</v>
      </c>
      <c r="O274" s="70">
        <f t="shared" si="26"/>
        <v>-3.808349900596422E-3</v>
      </c>
      <c r="P274" s="70">
        <f t="shared" si="27"/>
        <v>2.0984095427435388E-3</v>
      </c>
      <c r="AI274" s="15">
        <v>41837</v>
      </c>
      <c r="AJ274" s="2">
        <v>91.07</v>
      </c>
      <c r="AK274" s="2">
        <v>43.1</v>
      </c>
      <c r="AL274" s="2">
        <v>185.77</v>
      </c>
      <c r="AM274" s="2">
        <v>94.05199938238755</v>
      </c>
      <c r="AN274" s="2">
        <v>52.197171243344172</v>
      </c>
    </row>
    <row r="275" spans="2:40" x14ac:dyDescent="0.35">
      <c r="B275" s="15">
        <v>41836</v>
      </c>
      <c r="C275" s="49" t="str">
        <f>$S$4</f>
        <v>AAPL</v>
      </c>
      <c r="D275" s="53">
        <f>CHOOSE($S$3,AJ275,AK275,AL275,AM275,AN275)</f>
        <v>92.73</v>
      </c>
      <c r="E275" s="55">
        <f t="shared" si="25"/>
        <v>-5.5920137117902845E-3</v>
      </c>
      <c r="F275" s="55">
        <f t="shared" si="28"/>
        <v>-5.5920137117902845E-3</v>
      </c>
      <c r="G275" s="70">
        <f t="shared" si="29"/>
        <v>-6.9070035546733612E-3</v>
      </c>
      <c r="H275" s="53"/>
      <c r="I275" s="15">
        <v>41836</v>
      </c>
      <c r="J275" s="55">
        <v>3.2000000000000002E-3</v>
      </c>
      <c r="K275" s="55">
        <v>-6.0000000000000001E-3</v>
      </c>
      <c r="L275" s="55">
        <v>3.2000000000000002E-3</v>
      </c>
      <c r="M275" s="55">
        <v>0</v>
      </c>
      <c r="N275" s="70">
        <f t="shared" si="30"/>
        <v>2.6908548707753476E-3</v>
      </c>
      <c r="O275" s="70">
        <f t="shared" si="26"/>
        <v>-5.9083499005964215E-3</v>
      </c>
      <c r="P275" s="70">
        <f t="shared" si="27"/>
        <v>3.498409542743539E-3</v>
      </c>
      <c r="AI275" s="15">
        <v>41836</v>
      </c>
      <c r="AJ275" s="2">
        <v>92.73</v>
      </c>
      <c r="AK275" s="2">
        <v>42.66</v>
      </c>
      <c r="AL275" s="2">
        <v>185.65</v>
      </c>
      <c r="AM275" s="2">
        <v>94.878800014990645</v>
      </c>
      <c r="AN275" s="2">
        <v>51.913876922578538</v>
      </c>
    </row>
    <row r="276" spans="2:40" x14ac:dyDescent="0.35">
      <c r="B276" s="15">
        <v>41835</v>
      </c>
      <c r="C276" s="49" t="str">
        <f>$S$4</f>
        <v>AAPL</v>
      </c>
      <c r="D276" s="53">
        <f>CHOOSE($S$3,AJ276,AK276,AL276,AM276,AN276)</f>
        <v>93.25</v>
      </c>
      <c r="E276" s="55">
        <f t="shared" si="25"/>
        <v>-1.1833196015549347E-2</v>
      </c>
      <c r="F276" s="55">
        <f t="shared" si="28"/>
        <v>-1.1833196015549347E-2</v>
      </c>
      <c r="G276" s="70">
        <f t="shared" si="29"/>
        <v>-1.3148185858432424E-2</v>
      </c>
      <c r="H276" s="53"/>
      <c r="I276" s="15">
        <v>41835</v>
      </c>
      <c r="J276" s="55">
        <v>-3.2000000000000002E-3</v>
      </c>
      <c r="K276" s="55">
        <v>-9.300000000000001E-3</v>
      </c>
      <c r="L276" s="55">
        <v>9.7999999999999997E-3</v>
      </c>
      <c r="M276" s="55">
        <v>0</v>
      </c>
      <c r="N276" s="70">
        <f t="shared" si="30"/>
        <v>-3.7091451292246527E-3</v>
      </c>
      <c r="O276" s="70">
        <f t="shared" si="26"/>
        <v>-9.2083499005964232E-3</v>
      </c>
      <c r="P276" s="70">
        <f t="shared" si="27"/>
        <v>1.0098409542743539E-2</v>
      </c>
      <c r="AI276" s="15">
        <v>41835</v>
      </c>
      <c r="AJ276" s="2">
        <v>93.25</v>
      </c>
      <c r="AK276" s="2">
        <v>41.09</v>
      </c>
      <c r="AL276" s="2">
        <v>181.91</v>
      </c>
      <c r="AM276" s="2">
        <v>94.189137557187081</v>
      </c>
      <c r="AN276" s="2">
        <v>50.435679624104246</v>
      </c>
    </row>
    <row r="277" spans="2:40" x14ac:dyDescent="0.35">
      <c r="B277" s="15">
        <v>41834</v>
      </c>
      <c r="C277" s="49" t="str">
        <f>$S$4</f>
        <v>AAPL</v>
      </c>
      <c r="D277" s="53">
        <f>CHOOSE($S$3,AJ277,AK277,AL277,AM277,AN277)</f>
        <v>94.36</v>
      </c>
      <c r="E277" s="55">
        <f t="shared" si="25"/>
        <v>1.2798809523334122E-2</v>
      </c>
      <c r="F277" s="55">
        <f t="shared" si="28"/>
        <v>1.2798809523334122E-2</v>
      </c>
      <c r="G277" s="70">
        <f t="shared" si="29"/>
        <v>1.1483819680451045E-2</v>
      </c>
      <c r="H277" s="53"/>
      <c r="I277" s="15">
        <v>41834</v>
      </c>
      <c r="J277" s="55">
        <v>4.5999999999999999E-3</v>
      </c>
      <c r="K277" s="55">
        <v>0</v>
      </c>
      <c r="L277" s="55">
        <v>-1.2999999999999999E-3</v>
      </c>
      <c r="M277" s="55">
        <v>0</v>
      </c>
      <c r="N277" s="70">
        <f t="shared" si="30"/>
        <v>4.0908548707753473E-3</v>
      </c>
      <c r="O277" s="70">
        <f t="shared" si="26"/>
        <v>9.165009940357831E-5</v>
      </c>
      <c r="P277" s="70">
        <f t="shared" si="27"/>
        <v>-1.0015904572564611E-3</v>
      </c>
      <c r="AI277" s="15">
        <v>41834</v>
      </c>
      <c r="AJ277" s="2">
        <v>94.36</v>
      </c>
      <c r="AK277" s="2">
        <v>40.79</v>
      </c>
      <c r="AL277" s="2">
        <v>183.24</v>
      </c>
      <c r="AM277" s="2">
        <v>95.094049949776334</v>
      </c>
      <c r="AN277" s="2">
        <v>50.435938392081184</v>
      </c>
    </row>
    <row r="278" spans="2:40" x14ac:dyDescent="0.35">
      <c r="B278" s="15">
        <v>41831</v>
      </c>
      <c r="C278" s="49" t="str">
        <f>$S$4</f>
        <v>AAPL</v>
      </c>
      <c r="D278" s="53">
        <f>CHOOSE($S$3,AJ278,AK278,AL278,AM278,AN278)</f>
        <v>93.16</v>
      </c>
      <c r="E278" s="55">
        <f t="shared" si="25"/>
        <v>1.9340287537014597E-3</v>
      </c>
      <c r="F278" s="55">
        <f t="shared" si="28"/>
        <v>1.9340287537014597E-3</v>
      </c>
      <c r="G278" s="70">
        <f t="shared" si="29"/>
        <v>6.1903891081838266E-4</v>
      </c>
      <c r="H278" s="53"/>
      <c r="I278" s="15">
        <v>41831</v>
      </c>
      <c r="J278" s="55">
        <v>1.1999999999999999E-3</v>
      </c>
      <c r="K278" s="55">
        <v>-2.0999999999999999E-3</v>
      </c>
      <c r="L278" s="55">
        <v>-3.9000000000000003E-3</v>
      </c>
      <c r="M278" s="55">
        <v>0</v>
      </c>
      <c r="N278" s="70">
        <f t="shared" si="30"/>
        <v>6.908548707753473E-4</v>
      </c>
      <c r="O278" s="70">
        <f t="shared" si="26"/>
        <v>-2.0083499005964216E-3</v>
      </c>
      <c r="P278" s="70">
        <f t="shared" si="27"/>
        <v>-3.6015904572564614E-3</v>
      </c>
      <c r="AI278" s="15">
        <v>41831</v>
      </c>
      <c r="AJ278" s="2">
        <v>93.16</v>
      </c>
      <c r="AK278" s="2">
        <v>40.74</v>
      </c>
      <c r="AL278" s="2">
        <v>181.44</v>
      </c>
      <c r="AM278" s="2">
        <v>94.022319286584207</v>
      </c>
      <c r="AN278" s="2">
        <v>50.157305722589896</v>
      </c>
    </row>
    <row r="279" spans="2:40" x14ac:dyDescent="0.35">
      <c r="B279" s="15">
        <v>41830</v>
      </c>
      <c r="C279" s="49" t="str">
        <f>$S$4</f>
        <v>AAPL</v>
      </c>
      <c r="D279" s="53">
        <f>CHOOSE($S$3,AJ279,AK279,AL279,AM279,AN279)</f>
        <v>92.98</v>
      </c>
      <c r="E279" s="55">
        <f t="shared" si="25"/>
        <v>-3.6500308907904074E-3</v>
      </c>
      <c r="F279" s="55">
        <f t="shared" si="28"/>
        <v>-3.6500308907904074E-3</v>
      </c>
      <c r="G279" s="70">
        <f t="shared" si="29"/>
        <v>-4.9650207336734845E-3</v>
      </c>
      <c r="H279" s="53"/>
      <c r="I279" s="15">
        <v>41830</v>
      </c>
      <c r="J279" s="55">
        <v>-4.8999999999999998E-3</v>
      </c>
      <c r="K279" s="55">
        <v>-5.8999999999999999E-3</v>
      </c>
      <c r="L279" s="55">
        <v>2.0000000000000001E-4</v>
      </c>
      <c r="M279" s="55">
        <v>0</v>
      </c>
      <c r="N279" s="70">
        <f t="shared" si="30"/>
        <v>-5.4091451292246524E-3</v>
      </c>
      <c r="O279" s="70">
        <f t="shared" si="26"/>
        <v>-5.8083499005964212E-3</v>
      </c>
      <c r="P279" s="70">
        <f t="shared" si="27"/>
        <v>4.9840954274353881E-4</v>
      </c>
      <c r="AI279" s="15">
        <v>41830</v>
      </c>
      <c r="AJ279" s="2">
        <v>92.98</v>
      </c>
      <c r="AK279" s="2">
        <v>40.35</v>
      </c>
      <c r="AL279" s="2">
        <v>181.15</v>
      </c>
      <c r="AM279" s="2">
        <v>93.856347128350265</v>
      </c>
      <c r="AN279" s="2">
        <v>49.877146427701632</v>
      </c>
    </row>
    <row r="280" spans="2:40" x14ac:dyDescent="0.35">
      <c r="B280" s="15">
        <v>41829</v>
      </c>
      <c r="C280" s="49" t="str">
        <f>$S$4</f>
        <v>AAPL</v>
      </c>
      <c r="D280" s="53">
        <f>CHOOSE($S$3,AJ280,AK280,AL280,AM280,AN280)</f>
        <v>93.32</v>
      </c>
      <c r="E280" s="55">
        <f t="shared" si="25"/>
        <v>4.28724551046896E-4</v>
      </c>
      <c r="F280" s="55">
        <f t="shared" si="28"/>
        <v>4.28724551046896E-4</v>
      </c>
      <c r="G280" s="70">
        <f t="shared" si="29"/>
        <v>-8.862652918361811E-4</v>
      </c>
      <c r="H280" s="53"/>
      <c r="I280" s="15">
        <v>41829</v>
      </c>
      <c r="J280" s="55">
        <v>4.5999999999999999E-3</v>
      </c>
      <c r="K280" s="55">
        <v>-3.8E-3</v>
      </c>
      <c r="L280" s="55">
        <v>-1.1000000000000001E-3</v>
      </c>
      <c r="M280" s="55">
        <v>0</v>
      </c>
      <c r="N280" s="70">
        <f t="shared" si="30"/>
        <v>4.0908548707753473E-3</v>
      </c>
      <c r="O280" s="70">
        <f t="shared" si="26"/>
        <v>-3.7083499005964218E-3</v>
      </c>
      <c r="P280" s="70">
        <f t="shared" si="27"/>
        <v>-8.0159045725646124E-4</v>
      </c>
      <c r="AI280" s="15">
        <v>41829</v>
      </c>
      <c r="AJ280" s="2">
        <v>93.32</v>
      </c>
      <c r="AK280" s="2">
        <v>40.33</v>
      </c>
      <c r="AL280" s="2">
        <v>181.85</v>
      </c>
      <c r="AM280" s="2">
        <v>94.209289290108984</v>
      </c>
      <c r="AN280" s="2">
        <v>49.961152958970281</v>
      </c>
    </row>
    <row r="281" spans="2:40" x14ac:dyDescent="0.35">
      <c r="B281" s="15">
        <v>41828</v>
      </c>
      <c r="C281" s="49" t="str">
        <f>$S$4</f>
        <v>AAPL</v>
      </c>
      <c r="D281" s="53">
        <f>CHOOSE($S$3,AJ281,AK281,AL281,AM281,AN281)</f>
        <v>93.28</v>
      </c>
      <c r="E281" s="55">
        <f t="shared" si="25"/>
        <v>-6.5181616682738405E-3</v>
      </c>
      <c r="F281" s="55">
        <f t="shared" si="28"/>
        <v>-6.5181616682738405E-3</v>
      </c>
      <c r="G281" s="70">
        <f t="shared" si="29"/>
        <v>-7.8331515111569171E-3</v>
      </c>
      <c r="H281" s="53"/>
      <c r="I281" s="15">
        <v>41828</v>
      </c>
      <c r="J281" s="55">
        <v>-8.199999999999999E-3</v>
      </c>
      <c r="K281" s="55">
        <v>-6.5000000000000006E-3</v>
      </c>
      <c r="L281" s="55">
        <v>7.0999999999999995E-3</v>
      </c>
      <c r="M281" s="55">
        <v>0</v>
      </c>
      <c r="N281" s="70">
        <f t="shared" si="30"/>
        <v>-8.7091451292246515E-3</v>
      </c>
      <c r="O281" s="70">
        <f t="shared" si="26"/>
        <v>-6.4083499005964219E-3</v>
      </c>
      <c r="P281" s="70">
        <f t="shared" si="27"/>
        <v>7.3984095427435384E-3</v>
      </c>
      <c r="AI281" s="15">
        <v>41828</v>
      </c>
      <c r="AJ281" s="2">
        <v>93.28</v>
      </c>
      <c r="AK281" s="2">
        <v>40.44</v>
      </c>
      <c r="AL281" s="2">
        <v>180.69</v>
      </c>
      <c r="AM281" s="2">
        <v>93.888623651189462</v>
      </c>
      <c r="AN281" s="2">
        <v>49.869939242857242</v>
      </c>
    </row>
    <row r="282" spans="2:40" x14ac:dyDescent="0.35">
      <c r="B282" s="15">
        <v>41827</v>
      </c>
      <c r="C282" s="49" t="str">
        <f>$S$4</f>
        <v>AAPL</v>
      </c>
      <c r="D282" s="53">
        <f>CHOOSE($S$3,AJ282,AK282,AL282,AM282,AN282)</f>
        <v>93.89</v>
      </c>
      <c r="E282" s="55">
        <f t="shared" si="25"/>
        <v>2.0444008781390181E-2</v>
      </c>
      <c r="F282" s="55">
        <f t="shared" si="28"/>
        <v>2.0444008781390181E-2</v>
      </c>
      <c r="G282" s="70">
        <f t="shared" si="29"/>
        <v>1.9129018938507103E-2</v>
      </c>
      <c r="H282" s="53"/>
      <c r="I282" s="15">
        <v>41827</v>
      </c>
      <c r="J282" s="55">
        <v>-6.1999999999999998E-3</v>
      </c>
      <c r="K282" s="55">
        <v>-1.2699999999999999E-2</v>
      </c>
      <c r="L282" s="55">
        <v>3.8E-3</v>
      </c>
      <c r="M282" s="55">
        <v>0</v>
      </c>
      <c r="N282" s="70">
        <f t="shared" si="30"/>
        <v>-6.7091451292246524E-3</v>
      </c>
      <c r="O282" s="70">
        <f t="shared" si="26"/>
        <v>-1.2608349900596422E-2</v>
      </c>
      <c r="P282" s="70">
        <f t="shared" si="27"/>
        <v>4.0984095427435384E-3</v>
      </c>
      <c r="AI282" s="15">
        <v>41827</v>
      </c>
      <c r="AJ282" s="2">
        <v>93.89</v>
      </c>
      <c r="AK282" s="2">
        <v>40.64</v>
      </c>
      <c r="AL282" s="2">
        <v>181.48</v>
      </c>
      <c r="AM282" s="2">
        <v>94.400860273469604</v>
      </c>
      <c r="AN282" s="2">
        <v>50.102276494467681</v>
      </c>
    </row>
    <row r="283" spans="2:40" x14ac:dyDescent="0.35">
      <c r="B283" s="15">
        <v>41823</v>
      </c>
      <c r="C283" s="49" t="str">
        <f>$S$4</f>
        <v>AAPL</v>
      </c>
      <c r="D283" s="53">
        <f>CHOOSE($S$3,AJ283,AK283,AL283,AM283,AN283)</f>
        <v>91.99</v>
      </c>
      <c r="E283" s="55">
        <f t="shared" si="25"/>
        <v>5.8875006521911877E-3</v>
      </c>
      <c r="F283" s="55">
        <f t="shared" si="28"/>
        <v>5.8875006521911877E-3</v>
      </c>
      <c r="G283" s="70">
        <f t="shared" si="29"/>
        <v>4.5725108093081102E-3</v>
      </c>
      <c r="H283" s="53"/>
      <c r="I283" s="15">
        <v>41823</v>
      </c>
      <c r="J283" s="55">
        <v>5.8999999999999999E-3</v>
      </c>
      <c r="K283" s="55">
        <v>2.2000000000000001E-3</v>
      </c>
      <c r="L283" s="55">
        <v>8.0000000000000004E-4</v>
      </c>
      <c r="M283" s="55">
        <v>0</v>
      </c>
      <c r="N283" s="70">
        <f t="shared" si="30"/>
        <v>5.3908548707753473E-3</v>
      </c>
      <c r="O283" s="70">
        <f t="shared" si="26"/>
        <v>2.2916500994035784E-3</v>
      </c>
      <c r="P283" s="70">
        <f t="shared" si="27"/>
        <v>1.0984095427435388E-3</v>
      </c>
      <c r="AI283" s="15">
        <v>41823</v>
      </c>
      <c r="AJ283" s="2">
        <v>91.99</v>
      </c>
      <c r="AK283" s="2">
        <v>40.46</v>
      </c>
      <c r="AL283" s="2">
        <v>181.95</v>
      </c>
      <c r="AM283" s="2">
        <v>93.567931754264151</v>
      </c>
      <c r="AN283" s="2">
        <v>50.056199515067078</v>
      </c>
    </row>
    <row r="284" spans="2:40" x14ac:dyDescent="0.35">
      <c r="B284" s="15">
        <v>41822</v>
      </c>
      <c r="C284" s="49" t="str">
        <f>$S$4</f>
        <v>AAPL</v>
      </c>
      <c r="D284" s="53">
        <f>CHOOSE($S$3,AJ284,AK284,AL284,AM284,AN284)</f>
        <v>91.45</v>
      </c>
      <c r="E284" s="55">
        <f t="shared" si="25"/>
        <v>-4.3730185456912637E-4</v>
      </c>
      <c r="F284" s="55">
        <f t="shared" si="28"/>
        <v>-4.3730185456912637E-4</v>
      </c>
      <c r="G284" s="70">
        <f t="shared" si="29"/>
        <v>-1.7522916974522034E-3</v>
      </c>
      <c r="H284" s="53"/>
      <c r="I284" s="15">
        <v>41822</v>
      </c>
      <c r="J284" s="55">
        <v>-2.9999999999999997E-4</v>
      </c>
      <c r="K284" s="55">
        <v>-4.5000000000000005E-3</v>
      </c>
      <c r="L284" s="55">
        <v>-2.0999999999999999E-3</v>
      </c>
      <c r="M284" s="55">
        <v>0</v>
      </c>
      <c r="N284" s="70">
        <f t="shared" si="30"/>
        <v>-8.0914512922465251E-4</v>
      </c>
      <c r="O284" s="70">
        <f t="shared" si="26"/>
        <v>-4.4083499005964219E-3</v>
      </c>
      <c r="P284" s="70">
        <f t="shared" si="27"/>
        <v>-1.801590457256461E-3</v>
      </c>
      <c r="AI284" s="15">
        <v>41822</v>
      </c>
      <c r="AJ284" s="2">
        <v>91.45</v>
      </c>
      <c r="AK284" s="2">
        <v>40.549999999999997</v>
      </c>
      <c r="AL284" s="2">
        <v>181.82</v>
      </c>
      <c r="AM284" s="2">
        <v>93.259874062648535</v>
      </c>
      <c r="AN284" s="2">
        <v>50.09399037340787</v>
      </c>
    </row>
    <row r="285" spans="2:40" x14ac:dyDescent="0.35">
      <c r="B285" s="15">
        <v>41821</v>
      </c>
      <c r="C285" s="49" t="str">
        <f>$S$4</f>
        <v>AAPL</v>
      </c>
      <c r="D285" s="53">
        <f>CHOOSE($S$3,AJ285,AK285,AL285,AM285,AN285)</f>
        <v>91.49</v>
      </c>
      <c r="E285" s="55">
        <f t="shared" si="25"/>
        <v>6.249677707101298E-3</v>
      </c>
      <c r="F285" s="55">
        <f t="shared" si="28"/>
        <v>6.249677707101298E-3</v>
      </c>
      <c r="G285" s="70">
        <f t="shared" si="29"/>
        <v>4.9346878642182214E-3</v>
      </c>
      <c r="H285" s="53"/>
      <c r="I285" s="15">
        <v>41821</v>
      </c>
      <c r="J285" s="55">
        <v>7.4000000000000003E-3</v>
      </c>
      <c r="K285" s="55">
        <v>4.7999999999999996E-3</v>
      </c>
      <c r="L285" s="55">
        <v>-3.7000000000000002E-3</v>
      </c>
      <c r="M285" s="55">
        <v>0</v>
      </c>
      <c r="N285" s="70">
        <f t="shared" si="30"/>
        <v>6.8908548707753477E-3</v>
      </c>
      <c r="O285" s="70">
        <f t="shared" si="26"/>
        <v>4.8916500994035782E-3</v>
      </c>
      <c r="P285" s="70">
        <f t="shared" si="27"/>
        <v>-3.4015904572564613E-3</v>
      </c>
      <c r="AI285" s="15">
        <v>41821</v>
      </c>
      <c r="AJ285" s="2">
        <v>91.49</v>
      </c>
      <c r="AK285" s="2">
        <v>40.520000000000003</v>
      </c>
      <c r="AL285" s="2">
        <v>179.85</v>
      </c>
      <c r="AM285" s="2">
        <v>92.775039564398824</v>
      </c>
      <c r="AN285" s="2">
        <v>49.804078441708853</v>
      </c>
    </row>
    <row r="286" spans="2:40" x14ac:dyDescent="0.35">
      <c r="B286" s="15">
        <v>41820</v>
      </c>
      <c r="C286" s="49" t="str">
        <f>$S$4</f>
        <v>AAPL</v>
      </c>
      <c r="D286" s="53">
        <f>CHOOSE($S$3,AJ286,AK286,AL286,AM286,AN286)</f>
        <v>90.92</v>
      </c>
      <c r="E286" s="55">
        <f t="shared" si="25"/>
        <v>1.028144593848542E-2</v>
      </c>
      <c r="F286" s="55">
        <f t="shared" si="28"/>
        <v>1.028144593848542E-2</v>
      </c>
      <c r="G286" s="70">
        <f t="shared" si="29"/>
        <v>8.9664560956023431E-3</v>
      </c>
      <c r="H286" s="53"/>
      <c r="I286" s="15">
        <v>41820</v>
      </c>
      <c r="J286" s="55">
        <v>7.000000000000001E-4</v>
      </c>
      <c r="K286" s="55">
        <v>2.5999999999999999E-3</v>
      </c>
      <c r="L286" s="55">
        <v>1.9E-3</v>
      </c>
      <c r="M286" s="55">
        <v>0</v>
      </c>
      <c r="N286" s="70">
        <f t="shared" si="30"/>
        <v>1.9085487077534751E-4</v>
      </c>
      <c r="O286" s="70">
        <f t="shared" si="26"/>
        <v>2.6916500994035781E-3</v>
      </c>
      <c r="P286" s="70">
        <f t="shared" si="27"/>
        <v>2.1984095427435386E-3</v>
      </c>
      <c r="AI286" s="15">
        <v>41820</v>
      </c>
      <c r="AJ286" s="2">
        <v>90.92</v>
      </c>
      <c r="AK286" s="2">
        <v>40.36</v>
      </c>
      <c r="AL286" s="2">
        <v>174.95</v>
      </c>
      <c r="AM286" s="2">
        <v>91.222211985679309</v>
      </c>
      <c r="AN286" s="2">
        <v>49.027294349140554</v>
      </c>
    </row>
    <row r="287" spans="2:40" x14ac:dyDescent="0.35">
      <c r="B287" s="15">
        <v>41817</v>
      </c>
      <c r="C287" s="49" t="str">
        <f>$S$4</f>
        <v>AAPL</v>
      </c>
      <c r="D287" s="53">
        <f>CHOOSE($S$3,AJ287,AK287,AL287,AM287,AN287)</f>
        <v>89.99</v>
      </c>
      <c r="E287" s="55">
        <f t="shared" si="25"/>
        <v>1.1849009634308294E-2</v>
      </c>
      <c r="F287" s="55">
        <f t="shared" si="28"/>
        <v>1.1849009634308294E-2</v>
      </c>
      <c r="G287" s="70">
        <f t="shared" si="29"/>
        <v>1.0534019791425217E-2</v>
      </c>
      <c r="H287" s="53"/>
      <c r="I287" s="15">
        <v>41817</v>
      </c>
      <c r="J287" s="55">
        <v>2.5999999999999999E-3</v>
      </c>
      <c r="K287" s="55">
        <v>4.7999999999999996E-3</v>
      </c>
      <c r="L287" s="55">
        <v>-2.2000000000000001E-3</v>
      </c>
      <c r="M287" s="55">
        <v>0</v>
      </c>
      <c r="N287" s="70">
        <f t="shared" si="30"/>
        <v>2.0908548707753473E-3</v>
      </c>
      <c r="O287" s="70">
        <f t="shared" si="26"/>
        <v>4.8916500994035782E-3</v>
      </c>
      <c r="P287" s="70">
        <f t="shared" si="27"/>
        <v>-1.9015904572564613E-3</v>
      </c>
      <c r="AI287" s="15">
        <v>41817</v>
      </c>
      <c r="AJ287" s="2">
        <v>89.99</v>
      </c>
      <c r="AK287" s="2">
        <v>40.89</v>
      </c>
      <c r="AL287" s="2">
        <v>175.37</v>
      </c>
      <c r="AM287" s="2">
        <v>90.865164296356397</v>
      </c>
      <c r="AN287" s="2">
        <v>49.408052563759547</v>
      </c>
    </row>
    <row r="288" spans="2:40" x14ac:dyDescent="0.35">
      <c r="B288" s="15">
        <v>41816</v>
      </c>
      <c r="C288" s="49" t="str">
        <f>$S$4</f>
        <v>AAPL</v>
      </c>
      <c r="D288" s="53">
        <f>CHOOSE($S$3,AJ288,AK288,AL288,AM288,AN288)</f>
        <v>88.93</v>
      </c>
      <c r="E288" s="55">
        <f t="shared" si="25"/>
        <v>5.9775737679509198E-3</v>
      </c>
      <c r="F288" s="55">
        <f t="shared" si="28"/>
        <v>5.9775737679509198E-3</v>
      </c>
      <c r="G288" s="70">
        <f t="shared" si="29"/>
        <v>4.6625839250678432E-3</v>
      </c>
      <c r="H288" s="53"/>
      <c r="I288" s="15">
        <v>41816</v>
      </c>
      <c r="J288" s="55">
        <v>-1.1000000000000001E-3</v>
      </c>
      <c r="K288" s="55">
        <v>-8.0000000000000004E-4</v>
      </c>
      <c r="L288" s="55">
        <v>5.0000000000000001E-4</v>
      </c>
      <c r="M288" s="55">
        <v>0</v>
      </c>
      <c r="N288" s="70">
        <f t="shared" si="30"/>
        <v>-1.6091451292246527E-3</v>
      </c>
      <c r="O288" s="70">
        <f t="shared" si="26"/>
        <v>-7.083499005964217E-4</v>
      </c>
      <c r="P288" s="70">
        <f t="shared" si="27"/>
        <v>7.9840954274353884E-4</v>
      </c>
      <c r="AI288" s="15">
        <v>41816</v>
      </c>
      <c r="AJ288" s="2">
        <v>88.93</v>
      </c>
      <c r="AK288" s="2">
        <v>40.380000000000003</v>
      </c>
      <c r="AL288" s="2">
        <v>174.08</v>
      </c>
      <c r="AM288" s="2">
        <v>89.995813531007173</v>
      </c>
      <c r="AN288" s="2">
        <v>48.918212155465916</v>
      </c>
    </row>
    <row r="289" spans="2:40" x14ac:dyDescent="0.35">
      <c r="B289" s="15">
        <v>41815</v>
      </c>
      <c r="C289" s="49" t="str">
        <f>$S$4</f>
        <v>AAPL</v>
      </c>
      <c r="D289" s="53">
        <f>CHOOSE($S$3,AJ289,AK289,AL289,AM289,AN289)</f>
        <v>88.4</v>
      </c>
      <c r="E289" s="55">
        <f t="shared" si="25"/>
        <v>9.0538711481274146E-4</v>
      </c>
      <c r="F289" s="55">
        <f t="shared" si="28"/>
        <v>9.0538711481274146E-4</v>
      </c>
      <c r="G289" s="70">
        <f t="shared" si="29"/>
        <v>-4.0960272807033559E-4</v>
      </c>
      <c r="H289" s="53"/>
      <c r="I289" s="15">
        <v>41815</v>
      </c>
      <c r="J289" s="55">
        <v>5.3E-3</v>
      </c>
      <c r="K289" s="55">
        <v>3.5999999999999999E-3</v>
      </c>
      <c r="L289" s="55">
        <v>7.000000000000001E-4</v>
      </c>
      <c r="M289" s="55">
        <v>0</v>
      </c>
      <c r="N289" s="70">
        <f t="shared" si="30"/>
        <v>4.7908548707753474E-3</v>
      </c>
      <c r="O289" s="70">
        <f t="shared" si="26"/>
        <v>3.6916500994035781E-3</v>
      </c>
      <c r="P289" s="70">
        <f t="shared" si="27"/>
        <v>9.9840954274353893E-4</v>
      </c>
      <c r="AI289" s="15">
        <v>41815</v>
      </c>
      <c r="AJ289" s="2">
        <v>88.4</v>
      </c>
      <c r="AK289" s="2">
        <v>40.68</v>
      </c>
      <c r="AL289" s="2">
        <v>174.41</v>
      </c>
      <c r="AM289" s="2">
        <v>89.812939181826721</v>
      </c>
      <c r="AN289" s="2">
        <v>49.146295781505067</v>
      </c>
    </row>
    <row r="290" spans="2:40" x14ac:dyDescent="0.35">
      <c r="B290" s="15">
        <v>41814</v>
      </c>
      <c r="C290" s="49" t="str">
        <f>$S$4</f>
        <v>AAPL</v>
      </c>
      <c r="D290" s="53">
        <f>CHOOSE($S$3,AJ290,AK290,AL290,AM290,AN290)</f>
        <v>88.32</v>
      </c>
      <c r="E290" s="55">
        <f t="shared" si="25"/>
        <v>-6.0955149789772862E-3</v>
      </c>
      <c r="F290" s="55">
        <f t="shared" si="28"/>
        <v>-6.0955149789772862E-3</v>
      </c>
      <c r="G290" s="70">
        <f t="shared" si="29"/>
        <v>-7.4105048218603628E-3</v>
      </c>
      <c r="H290" s="53"/>
      <c r="I290" s="15">
        <v>41814</v>
      </c>
      <c r="J290" s="55">
        <v>-7.1999999999999998E-3</v>
      </c>
      <c r="K290" s="55">
        <v>-3.4000000000000002E-3</v>
      </c>
      <c r="L290" s="55">
        <v>-2.0999999999999999E-3</v>
      </c>
      <c r="M290" s="55">
        <v>0</v>
      </c>
      <c r="N290" s="70">
        <f t="shared" si="30"/>
        <v>-7.7091451292246524E-3</v>
      </c>
      <c r="O290" s="70">
        <f t="shared" si="26"/>
        <v>-3.308349900596422E-3</v>
      </c>
      <c r="P290" s="70">
        <f t="shared" si="27"/>
        <v>-1.801590457256461E-3</v>
      </c>
      <c r="AI290" s="15">
        <v>41814</v>
      </c>
      <c r="AJ290" s="2">
        <v>88.32</v>
      </c>
      <c r="AK290" s="2">
        <v>40.409999999999997</v>
      </c>
      <c r="AL290" s="2">
        <v>174.57</v>
      </c>
      <c r="AM290" s="2">
        <v>89.813496076616005</v>
      </c>
      <c r="AN290" s="2">
        <v>49.005742546966431</v>
      </c>
    </row>
    <row r="291" spans="2:40" x14ac:dyDescent="0.35">
      <c r="B291" s="15">
        <v>41813</v>
      </c>
      <c r="C291" s="49" t="str">
        <f>$S$4</f>
        <v>AAPL</v>
      </c>
      <c r="D291" s="53">
        <f>CHOOSE($S$3,AJ291,AK291,AL291,AM291,AN291)</f>
        <v>88.86</v>
      </c>
      <c r="E291" s="55">
        <f t="shared" si="25"/>
        <v>-8.9988757478796748E-4</v>
      </c>
      <c r="F291" s="55">
        <f t="shared" si="28"/>
        <v>-8.9988757478796748E-4</v>
      </c>
      <c r="G291" s="70">
        <f t="shared" si="29"/>
        <v>-2.2148774176710445E-3</v>
      </c>
      <c r="H291" s="53"/>
      <c r="I291" s="15">
        <v>41813</v>
      </c>
      <c r="J291" s="55">
        <v>-1E-4</v>
      </c>
      <c r="K291" s="55">
        <v>-2.3999999999999998E-3</v>
      </c>
      <c r="L291" s="55">
        <v>8.0000000000000004E-4</v>
      </c>
      <c r="M291" s="55">
        <v>0</v>
      </c>
      <c r="N291" s="70">
        <f t="shared" si="30"/>
        <v>-6.0914512922465264E-4</v>
      </c>
      <c r="O291" s="70">
        <f t="shared" si="26"/>
        <v>-2.3083499005964216E-3</v>
      </c>
      <c r="P291" s="70">
        <f t="shared" si="27"/>
        <v>1.0984095427435388E-3</v>
      </c>
      <c r="AI291" s="15">
        <v>41813</v>
      </c>
      <c r="AJ291" s="2">
        <v>88.86</v>
      </c>
      <c r="AK291" s="2">
        <v>40.64</v>
      </c>
      <c r="AL291" s="2">
        <v>175.78</v>
      </c>
      <c r="AM291" s="2">
        <v>90.399324695381353</v>
      </c>
      <c r="AN291" s="2">
        <v>49.315041738029151</v>
      </c>
    </row>
    <row r="292" spans="2:40" x14ac:dyDescent="0.35">
      <c r="B292" s="15">
        <v>41810</v>
      </c>
      <c r="C292" s="49" t="str">
        <f>$S$4</f>
        <v>AAPL</v>
      </c>
      <c r="D292" s="53">
        <f>CHOOSE($S$3,AJ292,AK292,AL292,AM292,AN292)</f>
        <v>88.94</v>
      </c>
      <c r="E292" s="55">
        <f t="shared" si="25"/>
        <v>-1.04021965877318E-2</v>
      </c>
      <c r="F292" s="55">
        <f t="shared" si="28"/>
        <v>-1.04021965877318E-2</v>
      </c>
      <c r="G292" s="70">
        <f t="shared" si="29"/>
        <v>-1.1717186430614876E-2</v>
      </c>
      <c r="H292" s="53"/>
      <c r="I292" s="15">
        <v>41810</v>
      </c>
      <c r="J292" s="55">
        <v>1.8E-3</v>
      </c>
      <c r="K292" s="55">
        <v>1.8E-3</v>
      </c>
      <c r="L292" s="55">
        <v>4.0000000000000002E-4</v>
      </c>
      <c r="M292" s="55">
        <v>0</v>
      </c>
      <c r="N292" s="70">
        <f t="shared" si="30"/>
        <v>1.2908548707753474E-3</v>
      </c>
      <c r="O292" s="70">
        <f t="shared" si="26"/>
        <v>1.8916500994035782E-3</v>
      </c>
      <c r="P292" s="70">
        <f t="shared" si="27"/>
        <v>6.9840954274353879E-4</v>
      </c>
      <c r="AI292" s="15">
        <v>41810</v>
      </c>
      <c r="AJ292" s="2">
        <v>88.94</v>
      </c>
      <c r="AK292" s="2">
        <v>40.340000000000003</v>
      </c>
      <c r="AL292" s="2">
        <v>175.22</v>
      </c>
      <c r="AM292" s="2">
        <v>90.296020512843967</v>
      </c>
      <c r="AN292" s="2">
        <v>49.054468696480598</v>
      </c>
    </row>
    <row r="293" spans="2:40" x14ac:dyDescent="0.35">
      <c r="B293" s="15">
        <v>41809</v>
      </c>
      <c r="C293" s="49" t="str">
        <f>$S$4</f>
        <v>AAPL</v>
      </c>
      <c r="D293" s="53">
        <f>CHOOSE($S$3,AJ293,AK293,AL293,AM293,AN293)</f>
        <v>89.87</v>
      </c>
      <c r="E293" s="55">
        <f t="shared" si="25"/>
        <v>-3.4434913226561174E-3</v>
      </c>
      <c r="F293" s="55">
        <f t="shared" si="28"/>
        <v>-3.4434913226561174E-3</v>
      </c>
      <c r="G293" s="70">
        <f t="shared" si="29"/>
        <v>-4.7584811655391945E-3</v>
      </c>
      <c r="H293" s="53"/>
      <c r="I293" s="15">
        <v>41809</v>
      </c>
      <c r="J293" s="55">
        <v>1.1999999999999999E-3</v>
      </c>
      <c r="K293" s="55">
        <v>-1.6000000000000001E-3</v>
      </c>
      <c r="L293" s="55">
        <v>-4.0000000000000002E-4</v>
      </c>
      <c r="M293" s="55">
        <v>0</v>
      </c>
      <c r="N293" s="70">
        <f t="shared" si="30"/>
        <v>6.908548707753473E-4</v>
      </c>
      <c r="O293" s="70">
        <f t="shared" si="26"/>
        <v>-1.5083499005964218E-3</v>
      </c>
      <c r="P293" s="70">
        <f t="shared" si="27"/>
        <v>-1.0159045725646119E-4</v>
      </c>
      <c r="AI293" s="15">
        <v>41809</v>
      </c>
      <c r="AJ293" s="2">
        <v>89.87</v>
      </c>
      <c r="AK293" s="2">
        <v>40.18</v>
      </c>
      <c r="AL293" s="2">
        <v>176.44</v>
      </c>
      <c r="AM293" s="2">
        <v>91.082461063228592</v>
      </c>
      <c r="AN293" s="2">
        <v>49.12796182995195</v>
      </c>
    </row>
    <row r="294" spans="2:40" x14ac:dyDescent="0.35">
      <c r="B294" s="15">
        <v>41808</v>
      </c>
      <c r="C294" s="49" t="str">
        <f>$S$4</f>
        <v>AAPL</v>
      </c>
      <c r="D294" s="53">
        <f>CHOOSE($S$3,AJ294,AK294,AL294,AM294,AN294)</f>
        <v>90.18</v>
      </c>
      <c r="E294" s="55">
        <f t="shared" si="25"/>
        <v>1.1095086015580154E-3</v>
      </c>
      <c r="F294" s="55">
        <f t="shared" si="28"/>
        <v>1.1095086015580154E-3</v>
      </c>
      <c r="G294" s="70">
        <f t="shared" si="29"/>
        <v>-2.0548124132506169E-4</v>
      </c>
      <c r="H294" s="53"/>
      <c r="I294" s="15">
        <v>41808</v>
      </c>
      <c r="J294" s="55">
        <v>7.4999999999999997E-3</v>
      </c>
      <c r="K294" s="55">
        <v>-2.8000000000000004E-3</v>
      </c>
      <c r="L294" s="55">
        <v>-8.9999999999999998E-4</v>
      </c>
      <c r="M294" s="55">
        <v>0</v>
      </c>
      <c r="N294" s="70">
        <f t="shared" si="30"/>
        <v>6.9908548707753471E-3</v>
      </c>
      <c r="O294" s="70">
        <f t="shared" si="26"/>
        <v>-2.7083499005964222E-3</v>
      </c>
      <c r="P294" s="70">
        <f t="shared" si="27"/>
        <v>-6.0159045725646115E-4</v>
      </c>
      <c r="AI294" s="15">
        <v>41808</v>
      </c>
      <c r="AJ294" s="2">
        <v>90.18</v>
      </c>
      <c r="AK294" s="2">
        <v>40.31</v>
      </c>
      <c r="AL294" s="2">
        <v>177.19</v>
      </c>
      <c r="AM294" s="2">
        <v>91.433135995444246</v>
      </c>
      <c r="AN294" s="2">
        <v>49.311852146571219</v>
      </c>
    </row>
    <row r="295" spans="2:40" x14ac:dyDescent="0.35">
      <c r="B295" s="15">
        <v>41807</v>
      </c>
      <c r="C295" s="49" t="str">
        <f>$S$4</f>
        <v>AAPL</v>
      </c>
      <c r="D295" s="53">
        <f>CHOOSE($S$3,AJ295,AK295,AL295,AM295,AN295)</f>
        <v>90.08</v>
      </c>
      <c r="E295" s="55">
        <f t="shared" si="25"/>
        <v>-1.3312626771977329E-3</v>
      </c>
      <c r="F295" s="55">
        <f t="shared" si="28"/>
        <v>-1.3312626771977329E-3</v>
      </c>
      <c r="G295" s="70">
        <f t="shared" si="29"/>
        <v>-2.64625252008081E-3</v>
      </c>
      <c r="H295" s="53"/>
      <c r="I295" s="15">
        <v>41807</v>
      </c>
      <c r="J295" s="55">
        <v>3.4000000000000002E-3</v>
      </c>
      <c r="K295" s="55">
        <v>5.5000000000000005E-3</v>
      </c>
      <c r="L295" s="55">
        <v>4.5000000000000005E-3</v>
      </c>
      <c r="M295" s="55">
        <v>0</v>
      </c>
      <c r="N295" s="70">
        <f t="shared" si="30"/>
        <v>2.8908548707753477E-3</v>
      </c>
      <c r="O295" s="70">
        <f t="shared" si="26"/>
        <v>5.5916500994035792E-3</v>
      </c>
      <c r="P295" s="70">
        <f t="shared" si="27"/>
        <v>4.7984095427435394E-3</v>
      </c>
      <c r="AI295" s="15">
        <v>41807</v>
      </c>
      <c r="AJ295" s="2">
        <v>90.08</v>
      </c>
      <c r="AK295" s="2">
        <v>40.340000000000003</v>
      </c>
      <c r="AL295" s="2">
        <v>175.9</v>
      </c>
      <c r="AM295" s="2">
        <v>91.049609928454615</v>
      </c>
      <c r="AN295" s="2">
        <v>49.15069883517328</v>
      </c>
    </row>
    <row r="296" spans="2:40" x14ac:dyDescent="0.35">
      <c r="B296" s="15">
        <v>41806</v>
      </c>
      <c r="C296" s="49" t="str">
        <f>$S$4</f>
        <v>AAPL</v>
      </c>
      <c r="D296" s="53">
        <f>CHOOSE($S$3,AJ296,AK296,AL296,AM296,AN296)</f>
        <v>90.2</v>
      </c>
      <c r="E296" s="55">
        <f t="shared" si="25"/>
        <v>1.0027939186124712E-2</v>
      </c>
      <c r="F296" s="55">
        <f t="shared" si="28"/>
        <v>1.0027939186124712E-2</v>
      </c>
      <c r="G296" s="70">
        <f t="shared" si="29"/>
        <v>8.7129493432416358E-3</v>
      </c>
      <c r="H296" s="53"/>
      <c r="I296" s="15">
        <v>41806</v>
      </c>
      <c r="J296" s="55">
        <v>1.2999999999999999E-3</v>
      </c>
      <c r="K296" s="55">
        <v>4.5999999999999999E-3</v>
      </c>
      <c r="L296" s="55">
        <v>-6.7000000000000002E-3</v>
      </c>
      <c r="M296" s="55">
        <v>0</v>
      </c>
      <c r="N296" s="70">
        <f t="shared" si="30"/>
        <v>7.9085487077534735E-4</v>
      </c>
      <c r="O296" s="70">
        <f t="shared" si="26"/>
        <v>4.6916500994035786E-3</v>
      </c>
      <c r="P296" s="70">
        <f t="shared" si="27"/>
        <v>-6.4015904572564614E-3</v>
      </c>
      <c r="AI296" s="15">
        <v>41806</v>
      </c>
      <c r="AJ296" s="2">
        <v>90.2</v>
      </c>
      <c r="AK296" s="2">
        <v>40.17</v>
      </c>
      <c r="AL296" s="2">
        <v>175.99</v>
      </c>
      <c r="AM296" s="2">
        <v>91.133548725450353</v>
      </c>
      <c r="AN296" s="2">
        <v>49.059707986489059</v>
      </c>
    </row>
    <row r="297" spans="2:40" x14ac:dyDescent="0.35">
      <c r="B297" s="15">
        <v>41803</v>
      </c>
      <c r="C297" s="49" t="str">
        <f>$S$4</f>
        <v>AAPL</v>
      </c>
      <c r="D297" s="53">
        <f>CHOOSE($S$3,AJ297,AK297,AL297,AM297,AN297)</f>
        <v>89.3</v>
      </c>
      <c r="E297" s="55">
        <f t="shared" si="25"/>
        <v>-1.1025224436934586E-2</v>
      </c>
      <c r="F297" s="55">
        <f t="shared" si="28"/>
        <v>-1.1025224436934586E-2</v>
      </c>
      <c r="G297" s="70">
        <f t="shared" si="29"/>
        <v>-1.2340214279817662E-2</v>
      </c>
      <c r="H297" s="53"/>
      <c r="I297" s="15">
        <v>41803</v>
      </c>
      <c r="J297" s="55">
        <v>3.0999999999999999E-3</v>
      </c>
      <c r="K297" s="55">
        <v>-7.000000000000001E-4</v>
      </c>
      <c r="L297" s="55">
        <v>-1.9E-3</v>
      </c>
      <c r="M297" s="55">
        <v>0</v>
      </c>
      <c r="N297" s="70">
        <f t="shared" si="30"/>
        <v>2.5908548707753473E-3</v>
      </c>
      <c r="O297" s="70">
        <f t="shared" si="26"/>
        <v>-6.0834990059642176E-4</v>
      </c>
      <c r="P297" s="70">
        <f t="shared" si="27"/>
        <v>-1.6015904572564612E-3</v>
      </c>
      <c r="AI297" s="15">
        <v>41803</v>
      </c>
      <c r="AJ297" s="2">
        <v>89.3</v>
      </c>
      <c r="AK297" s="2">
        <v>39.909999999999997</v>
      </c>
      <c r="AL297" s="2">
        <v>176.19</v>
      </c>
      <c r="AM297" s="2">
        <v>90.730674699236232</v>
      </c>
      <c r="AN297" s="2">
        <v>48.928815122949999</v>
      </c>
    </row>
    <row r="298" spans="2:40" x14ac:dyDescent="0.35">
      <c r="B298" s="15">
        <v>41802</v>
      </c>
      <c r="C298" s="49" t="str">
        <f>$S$4</f>
        <v>AAPL</v>
      </c>
      <c r="D298" s="53">
        <f>CHOOSE($S$3,AJ298,AK298,AL298,AM298,AN298)</f>
        <v>90.29</v>
      </c>
      <c r="E298" s="55">
        <f t="shared" si="25"/>
        <v>-1.6912329306042896E-2</v>
      </c>
      <c r="F298" s="55">
        <f t="shared" si="28"/>
        <v>-1.6912329306042896E-2</v>
      </c>
      <c r="G298" s="70">
        <f t="shared" si="29"/>
        <v>-1.8227319148925974E-2</v>
      </c>
      <c r="H298" s="53"/>
      <c r="I298" s="15">
        <v>41802</v>
      </c>
      <c r="J298" s="55">
        <v>-6.8000000000000005E-3</v>
      </c>
      <c r="K298" s="55">
        <v>1E-3</v>
      </c>
      <c r="L298" s="55">
        <v>1.7000000000000001E-3</v>
      </c>
      <c r="M298" s="55">
        <v>0</v>
      </c>
      <c r="N298" s="70">
        <f t="shared" si="30"/>
        <v>-7.3091451292246531E-3</v>
      </c>
      <c r="O298" s="70">
        <f t="shared" si="26"/>
        <v>1.0916500994035782E-3</v>
      </c>
      <c r="P298" s="70">
        <f t="shared" si="27"/>
        <v>1.9984095427435389E-3</v>
      </c>
      <c r="AI298" s="15">
        <v>41802</v>
      </c>
      <c r="AJ298" s="2">
        <v>90.29</v>
      </c>
      <c r="AK298" s="2">
        <v>39.28</v>
      </c>
      <c r="AL298" s="2">
        <v>174.9</v>
      </c>
      <c r="AM298" s="2">
        <v>90.90145635839572</v>
      </c>
      <c r="AN298" s="2">
        <v>48.363512171891358</v>
      </c>
    </row>
    <row r="299" spans="2:40" x14ac:dyDescent="0.35">
      <c r="B299" s="15">
        <v>41801</v>
      </c>
      <c r="C299" s="49" t="str">
        <f>$S$4</f>
        <v>AAPL</v>
      </c>
      <c r="D299" s="53">
        <f>CHOOSE($S$3,AJ299,AK299,AL299,AM299,AN299)</f>
        <v>91.83</v>
      </c>
      <c r="E299" s="55">
        <f t="shared" si="25"/>
        <v>-4.1295429256189885E-3</v>
      </c>
      <c r="F299" s="55">
        <f t="shared" si="28"/>
        <v>-4.1295429256189885E-3</v>
      </c>
      <c r="G299" s="70">
        <f t="shared" si="29"/>
        <v>-5.444532768502066E-3</v>
      </c>
      <c r="H299" s="53"/>
      <c r="I299" s="15">
        <v>41801</v>
      </c>
      <c r="J299" s="55">
        <v>-3.4000000000000002E-3</v>
      </c>
      <c r="K299" s="55">
        <v>-1.1999999999999999E-3</v>
      </c>
      <c r="L299" s="55">
        <v>-2.8000000000000004E-3</v>
      </c>
      <c r="M299" s="55">
        <v>0</v>
      </c>
      <c r="N299" s="70">
        <f t="shared" si="30"/>
        <v>-3.9091451292246528E-3</v>
      </c>
      <c r="O299" s="70">
        <f t="shared" si="26"/>
        <v>-1.1083499005964217E-3</v>
      </c>
      <c r="P299" s="70">
        <f t="shared" si="27"/>
        <v>-2.5015904572564616E-3</v>
      </c>
      <c r="AI299" s="15">
        <v>41801</v>
      </c>
      <c r="AJ299" s="2">
        <v>91.83</v>
      </c>
      <c r="AK299" s="2">
        <v>39.549999999999997</v>
      </c>
      <c r="AL299" s="2">
        <v>175.89</v>
      </c>
      <c r="AM299" s="2">
        <v>91.933939177524863</v>
      </c>
      <c r="AN299" s="2">
        <v>48.666608828361909</v>
      </c>
    </row>
    <row r="300" spans="2:40" x14ac:dyDescent="0.35">
      <c r="B300" s="15">
        <v>41800</v>
      </c>
      <c r="C300" s="49" t="str">
        <f>$S$4</f>
        <v>AAPL</v>
      </c>
      <c r="D300" s="53">
        <f>CHOOSE($S$3,AJ300,AK300,AL300,AM300,AN300)</f>
        <v>92.21</v>
      </c>
      <c r="E300" s="55">
        <f t="shared" si="25"/>
        <v>5.8734125773654382E-3</v>
      </c>
      <c r="F300" s="55">
        <f t="shared" si="28"/>
        <v>5.8734125773654382E-3</v>
      </c>
      <c r="G300" s="70">
        <f t="shared" si="29"/>
        <v>4.5584227344823616E-3</v>
      </c>
      <c r="H300" s="53"/>
      <c r="I300" s="15">
        <v>41800</v>
      </c>
      <c r="J300" s="55">
        <v>-2.9999999999999997E-4</v>
      </c>
      <c r="K300" s="55">
        <v>-1.8E-3</v>
      </c>
      <c r="L300" s="55">
        <v>-4.0000000000000002E-4</v>
      </c>
      <c r="M300" s="55">
        <v>0</v>
      </c>
      <c r="N300" s="70">
        <f t="shared" si="30"/>
        <v>-8.0914512922465251E-4</v>
      </c>
      <c r="O300" s="70">
        <f t="shared" si="26"/>
        <v>-1.7083499005964217E-3</v>
      </c>
      <c r="P300" s="70">
        <f t="shared" si="27"/>
        <v>-1.0159045725646119E-4</v>
      </c>
      <c r="AI300" s="15">
        <v>41800</v>
      </c>
      <c r="AJ300" s="2">
        <v>92.21</v>
      </c>
      <c r="AK300" s="2">
        <v>39.79</v>
      </c>
      <c r="AL300" s="2">
        <v>177.86</v>
      </c>
      <c r="AM300" s="2">
        <v>92.638992654156766</v>
      </c>
      <c r="AN300" s="2">
        <v>49.08680727768477</v>
      </c>
    </row>
    <row r="301" spans="2:40" x14ac:dyDescent="0.35">
      <c r="B301" s="15">
        <v>41799</v>
      </c>
      <c r="C301" s="49" t="str">
        <f>$S$4</f>
        <v>AAPL</v>
      </c>
      <c r="D301" s="53">
        <f>CHOOSE($S$3,AJ301,AK301,AL301,AM301,AN301)</f>
        <v>91.67</v>
      </c>
      <c r="E301" s="55">
        <f t="shared" si="25"/>
        <v>1.5833205967274975E-2</v>
      </c>
      <c r="F301" s="55">
        <f t="shared" si="28"/>
        <v>1.5833205967274975E-2</v>
      </c>
      <c r="G301" s="70">
        <f t="shared" si="29"/>
        <v>1.4518216124391898E-2</v>
      </c>
      <c r="H301" s="53"/>
      <c r="I301" s="15">
        <v>41799</v>
      </c>
      <c r="J301" s="55">
        <v>2.2000000000000001E-3</v>
      </c>
      <c r="K301" s="55">
        <v>1.01E-2</v>
      </c>
      <c r="L301" s="55">
        <v>-3.0999999999999999E-3</v>
      </c>
      <c r="M301" s="55">
        <v>0</v>
      </c>
      <c r="N301" s="70">
        <f t="shared" si="30"/>
        <v>1.6908548707753475E-3</v>
      </c>
      <c r="O301" s="70">
        <f t="shared" si="26"/>
        <v>1.0191650099403577E-2</v>
      </c>
      <c r="P301" s="70">
        <f t="shared" si="27"/>
        <v>-2.8015904572564611E-3</v>
      </c>
      <c r="AI301" s="15">
        <v>41799</v>
      </c>
      <c r="AJ301" s="2">
        <v>91.67</v>
      </c>
      <c r="AK301" s="2">
        <v>39.94</v>
      </c>
      <c r="AL301" s="2">
        <v>179.72</v>
      </c>
      <c r="AM301" s="2">
        <v>92.852130219472627</v>
      </c>
      <c r="AN301" s="2">
        <v>49.435997442013594</v>
      </c>
    </row>
    <row r="302" spans="2:40" x14ac:dyDescent="0.35">
      <c r="B302" s="15">
        <v>41796</v>
      </c>
      <c r="C302" s="49" t="str">
        <f>$S$4</f>
        <v>AAPL</v>
      </c>
      <c r="D302" s="53">
        <f>CHOOSE($S$3,AJ302,AK302,AL302,AM302,AN302)</f>
        <v>90.23</v>
      </c>
      <c r="E302" s="55">
        <f t="shared" si="25"/>
        <v>-2.6563380312409151E-3</v>
      </c>
      <c r="F302" s="55">
        <f t="shared" si="28"/>
        <v>-2.6563380312409151E-3</v>
      </c>
      <c r="G302" s="70">
        <f t="shared" si="29"/>
        <v>-3.9713278741239921E-3</v>
      </c>
      <c r="H302" s="53"/>
      <c r="I302" s="15">
        <v>41796</v>
      </c>
      <c r="J302" s="55">
        <v>5.4000000000000003E-3</v>
      </c>
      <c r="K302" s="55">
        <v>4.7999999999999996E-3</v>
      </c>
      <c r="L302" s="55">
        <v>-1E-4</v>
      </c>
      <c r="M302" s="55">
        <v>0</v>
      </c>
      <c r="N302" s="70">
        <f t="shared" si="30"/>
        <v>4.8908548707753477E-3</v>
      </c>
      <c r="O302" s="70">
        <f t="shared" si="26"/>
        <v>4.8916500994035782E-3</v>
      </c>
      <c r="P302" s="70">
        <f t="shared" si="27"/>
        <v>1.9840954274353884E-4</v>
      </c>
      <c r="AI302" s="15">
        <v>41796</v>
      </c>
      <c r="AJ302" s="2">
        <v>90.23</v>
      </c>
      <c r="AK302" s="2">
        <v>40.15</v>
      </c>
      <c r="AL302" s="2">
        <v>179.87</v>
      </c>
      <c r="AM302" s="2">
        <v>92.161594124848051</v>
      </c>
      <c r="AN302" s="2">
        <v>49.586592305997037</v>
      </c>
    </row>
    <row r="303" spans="2:40" x14ac:dyDescent="0.35">
      <c r="B303" s="15">
        <v>41795</v>
      </c>
      <c r="C303" s="49" t="str">
        <f>$S$4</f>
        <v>AAPL</v>
      </c>
      <c r="D303" s="53">
        <f>CHOOSE($S$3,AJ303,AK303,AL303,AM303,AN303)</f>
        <v>90.47</v>
      </c>
      <c r="E303" s="55">
        <f t="shared" si="25"/>
        <v>3.8761884736064687E-3</v>
      </c>
      <c r="F303" s="55">
        <f t="shared" si="28"/>
        <v>3.8761884736064687E-3</v>
      </c>
      <c r="G303" s="70">
        <f t="shared" si="29"/>
        <v>2.5611986307233917E-3</v>
      </c>
      <c r="H303" s="53"/>
      <c r="I303" s="15">
        <v>41795</v>
      </c>
      <c r="J303" s="55">
        <v>7.7000000000000002E-3</v>
      </c>
      <c r="K303" s="55">
        <v>1.29E-2</v>
      </c>
      <c r="L303" s="55">
        <v>-1.8E-3</v>
      </c>
      <c r="M303" s="55">
        <v>0</v>
      </c>
      <c r="N303" s="70">
        <f t="shared" si="30"/>
        <v>7.1908548707753477E-3</v>
      </c>
      <c r="O303" s="70">
        <f t="shared" si="26"/>
        <v>1.2991650099403578E-2</v>
      </c>
      <c r="P303" s="70">
        <f t="shared" si="27"/>
        <v>-1.5015904572564611E-3</v>
      </c>
      <c r="AI303" s="15">
        <v>41795</v>
      </c>
      <c r="AJ303" s="2">
        <v>90.47</v>
      </c>
      <c r="AK303" s="2">
        <v>39.89</v>
      </c>
      <c r="AL303" s="2">
        <v>179.49</v>
      </c>
      <c r="AM303" s="2">
        <v>92.18681102627049</v>
      </c>
      <c r="AN303" s="2">
        <v>49.373658727365473</v>
      </c>
    </row>
    <row r="304" spans="2:40" x14ac:dyDescent="0.35">
      <c r="B304" s="15">
        <v>41794</v>
      </c>
      <c r="C304" s="49" t="str">
        <f>$S$4</f>
        <v>AAPL</v>
      </c>
      <c r="D304" s="53">
        <f>CHOOSE($S$3,AJ304,AK304,AL304,AM304,AN304)</f>
        <v>90.12</v>
      </c>
      <c r="E304" s="55">
        <f t="shared" si="25"/>
        <v>1.1382781087280207E-2</v>
      </c>
      <c r="F304" s="55">
        <f t="shared" si="28"/>
        <v>1.1382781087280207E-2</v>
      </c>
      <c r="G304" s="70">
        <f t="shared" si="29"/>
        <v>1.0067791244397131E-2</v>
      </c>
      <c r="H304" s="53"/>
      <c r="I304" s="15">
        <v>41794</v>
      </c>
      <c r="J304" s="55">
        <v>2.8000000000000004E-3</v>
      </c>
      <c r="K304" s="55">
        <v>2.3E-3</v>
      </c>
      <c r="L304" s="55">
        <v>-8.9999999999999998E-4</v>
      </c>
      <c r="M304" s="55">
        <v>0</v>
      </c>
      <c r="N304" s="70">
        <f t="shared" si="30"/>
        <v>2.2908548707753478E-3</v>
      </c>
      <c r="O304" s="70">
        <f t="shared" si="26"/>
        <v>2.3916500994035782E-3</v>
      </c>
      <c r="P304" s="70">
        <f t="shared" si="27"/>
        <v>-6.0159045725646115E-4</v>
      </c>
      <c r="AI304" s="15">
        <v>41794</v>
      </c>
      <c r="AJ304" s="2">
        <v>90.12</v>
      </c>
      <c r="AK304" s="2">
        <v>39.020000000000003</v>
      </c>
      <c r="AL304" s="2">
        <v>178.07</v>
      </c>
      <c r="AM304" s="2">
        <v>91.643831170116172</v>
      </c>
      <c r="AN304" s="2">
        <v>48.639934517841958</v>
      </c>
    </row>
    <row r="305" spans="2:40" x14ac:dyDescent="0.35">
      <c r="B305" s="15">
        <v>41793</v>
      </c>
      <c r="C305" s="49" t="str">
        <f>$S$4</f>
        <v>AAPL</v>
      </c>
      <c r="D305" s="53">
        <f>CHOOSE($S$3,AJ305,AK305,AL305,AM305,AN305)</f>
        <v>89.1</v>
      </c>
      <c r="E305" s="55">
        <f t="shared" si="25"/>
        <v>1.4014695929130044E-2</v>
      </c>
      <c r="F305" s="55">
        <f t="shared" si="28"/>
        <v>1.4014695929130044E-2</v>
      </c>
      <c r="G305" s="70">
        <f t="shared" si="29"/>
        <v>1.2699706086246968E-2</v>
      </c>
      <c r="H305" s="53"/>
      <c r="I305" s="15">
        <v>41793</v>
      </c>
      <c r="J305" s="55">
        <v>-5.0000000000000001E-4</v>
      </c>
      <c r="K305" s="55">
        <v>-2.7000000000000001E-3</v>
      </c>
      <c r="L305" s="55">
        <v>1.8E-3</v>
      </c>
      <c r="M305" s="55">
        <v>0</v>
      </c>
      <c r="N305" s="70">
        <f t="shared" si="30"/>
        <v>-1.0091451292246526E-3</v>
      </c>
      <c r="O305" s="70">
        <f t="shared" si="26"/>
        <v>-2.6083499005964219E-3</v>
      </c>
      <c r="P305" s="70">
        <f t="shared" si="27"/>
        <v>2.0984095427435388E-3</v>
      </c>
      <c r="AI305" s="15">
        <v>41793</v>
      </c>
      <c r="AJ305" s="2">
        <v>89.1</v>
      </c>
      <c r="AK305" s="2">
        <v>39</v>
      </c>
      <c r="AL305" s="2">
        <v>177.94</v>
      </c>
      <c r="AM305" s="2">
        <v>91.091755336306917</v>
      </c>
      <c r="AN305" s="2">
        <v>48.609714340646519</v>
      </c>
    </row>
    <row r="306" spans="2:40" x14ac:dyDescent="0.35">
      <c r="B306" s="15">
        <v>41792</v>
      </c>
      <c r="C306" s="49" t="str">
        <f>$S$4</f>
        <v>AAPL</v>
      </c>
      <c r="D306" s="53">
        <f>CHOOSE($S$3,AJ306,AK306,AL306,AM306,AN306)</f>
        <v>87.86</v>
      </c>
      <c r="E306" s="55">
        <f t="shared" si="25"/>
        <v>-6.91887294766101E-3</v>
      </c>
      <c r="F306" s="55">
        <f t="shared" si="28"/>
        <v>-6.91887294766101E-3</v>
      </c>
      <c r="G306" s="70">
        <f t="shared" si="29"/>
        <v>-8.2338627905440866E-3</v>
      </c>
      <c r="H306" s="53"/>
      <c r="I306" s="15">
        <v>41792</v>
      </c>
      <c r="J306" s="55">
        <v>5.9999999999999995E-4</v>
      </c>
      <c r="K306" s="55">
        <v>-6.8000000000000005E-3</v>
      </c>
      <c r="L306" s="55">
        <v>4.0000000000000001E-3</v>
      </c>
      <c r="M306" s="55">
        <v>0</v>
      </c>
      <c r="N306" s="70">
        <f t="shared" si="30"/>
        <v>9.0854870775347357E-5</v>
      </c>
      <c r="O306" s="70">
        <f t="shared" si="26"/>
        <v>-6.7083499005964218E-3</v>
      </c>
      <c r="P306" s="70">
        <f t="shared" si="27"/>
        <v>4.2984095427435389E-3</v>
      </c>
      <c r="AI306" s="15">
        <v>41792</v>
      </c>
      <c r="AJ306" s="2">
        <v>87.86</v>
      </c>
      <c r="AK306" s="2">
        <v>39.479999999999997</v>
      </c>
      <c r="AL306" s="2">
        <v>179.21</v>
      </c>
      <c r="AM306" s="2">
        <v>90.782967494964609</v>
      </c>
      <c r="AN306" s="2">
        <v>49.082320576743392</v>
      </c>
    </row>
    <row r="307" spans="2:40" x14ac:dyDescent="0.35">
      <c r="B307" s="15">
        <v>41789</v>
      </c>
      <c r="C307" s="49" t="str">
        <f>$S$4</f>
        <v>AAPL</v>
      </c>
      <c r="D307" s="53">
        <f>CHOOSE($S$3,AJ307,AK307,AL307,AM307,AN307)</f>
        <v>88.47</v>
      </c>
      <c r="E307" s="55">
        <f t="shared" si="25"/>
        <v>-3.7231385028298029E-3</v>
      </c>
      <c r="F307" s="55">
        <f t="shared" si="28"/>
        <v>-3.7231385028298029E-3</v>
      </c>
      <c r="G307" s="70">
        <f t="shared" si="29"/>
        <v>-5.0381283457128796E-3</v>
      </c>
      <c r="H307" s="53"/>
      <c r="I307" s="15">
        <v>41789</v>
      </c>
      <c r="J307" s="55">
        <v>5.9999999999999995E-4</v>
      </c>
      <c r="K307" s="55">
        <v>-6.8000000000000005E-3</v>
      </c>
      <c r="L307" s="55">
        <v>2.8000000000000004E-3</v>
      </c>
      <c r="M307" s="55">
        <v>0</v>
      </c>
      <c r="N307" s="70">
        <f t="shared" si="30"/>
        <v>9.0854870775347357E-5</v>
      </c>
      <c r="O307" s="70">
        <f t="shared" si="26"/>
        <v>-6.7083499005964218E-3</v>
      </c>
      <c r="P307" s="70">
        <f t="shared" si="27"/>
        <v>3.0984095427435392E-3</v>
      </c>
      <c r="AI307" s="15">
        <v>41789</v>
      </c>
      <c r="AJ307" s="2">
        <v>88.47</v>
      </c>
      <c r="AK307" s="2">
        <v>39.619999999999997</v>
      </c>
      <c r="AL307" s="2">
        <v>177.93</v>
      </c>
      <c r="AM307" s="2">
        <v>90.773907585331543</v>
      </c>
      <c r="AN307" s="2">
        <v>48.994061747262634</v>
      </c>
    </row>
    <row r="308" spans="2:40" x14ac:dyDescent="0.35">
      <c r="B308" s="15">
        <v>41788</v>
      </c>
      <c r="C308" s="49" t="str">
        <f>$S$4</f>
        <v>AAPL</v>
      </c>
      <c r="D308" s="53">
        <f>CHOOSE($S$3,AJ308,AK308,AL308,AM308,AN308)</f>
        <v>88.8</v>
      </c>
      <c r="E308" s="55">
        <f t="shared" si="25"/>
        <v>1.806764675923022E-2</v>
      </c>
      <c r="F308" s="55">
        <f t="shared" si="28"/>
        <v>1.806764675923022E-2</v>
      </c>
      <c r="G308" s="70">
        <f t="shared" si="29"/>
        <v>1.6752656916347142E-2</v>
      </c>
      <c r="H308" s="53"/>
      <c r="I308" s="15">
        <v>41788</v>
      </c>
      <c r="J308" s="55">
        <v>5.4000000000000003E-3</v>
      </c>
      <c r="K308" s="55">
        <v>-2E-3</v>
      </c>
      <c r="L308" s="55">
        <v>-1.1999999999999999E-3</v>
      </c>
      <c r="M308" s="55">
        <v>0</v>
      </c>
      <c r="N308" s="70">
        <f t="shared" si="30"/>
        <v>4.8908548707753477E-3</v>
      </c>
      <c r="O308" s="70">
        <f t="shared" si="26"/>
        <v>-1.9083499005964218E-3</v>
      </c>
      <c r="P308" s="70">
        <f t="shared" si="27"/>
        <v>-9.0159045725646107E-4</v>
      </c>
      <c r="AI308" s="15">
        <v>41788</v>
      </c>
      <c r="AJ308" s="2">
        <v>88.8</v>
      </c>
      <c r="AK308" s="2">
        <v>39.04</v>
      </c>
      <c r="AL308" s="2">
        <v>177.35</v>
      </c>
      <c r="AM308" s="2">
        <v>90.795256206767647</v>
      </c>
      <c r="AN308" s="2">
        <v>48.555594779766416</v>
      </c>
    </row>
    <row r="309" spans="2:40" x14ac:dyDescent="0.35">
      <c r="B309" s="15">
        <v>41787</v>
      </c>
      <c r="C309" s="49" t="str">
        <f>$S$4</f>
        <v>AAPL</v>
      </c>
      <c r="D309" s="53">
        <f>CHOOSE($S$3,AJ309,AK309,AL309,AM309,AN309)</f>
        <v>87.21</v>
      </c>
      <c r="E309" s="55">
        <f t="shared" si="25"/>
        <v>-2.6338406293888866E-3</v>
      </c>
      <c r="F309" s="55">
        <f t="shared" si="28"/>
        <v>-2.6338406293888866E-3</v>
      </c>
      <c r="G309" s="70">
        <f t="shared" si="29"/>
        <v>-3.9488304722719633E-3</v>
      </c>
      <c r="H309" s="53"/>
      <c r="I309" s="15">
        <v>41787</v>
      </c>
      <c r="J309" s="55">
        <v>-1.1000000000000001E-3</v>
      </c>
      <c r="K309" s="55">
        <v>-3.3E-3</v>
      </c>
      <c r="L309" s="55">
        <v>2.7000000000000001E-3</v>
      </c>
      <c r="M309" s="55">
        <v>0</v>
      </c>
      <c r="N309" s="70">
        <f t="shared" si="30"/>
        <v>-1.6091451292246527E-3</v>
      </c>
      <c r="O309" s="70">
        <f t="shared" si="26"/>
        <v>-3.2083499005964218E-3</v>
      </c>
      <c r="P309" s="70">
        <f t="shared" si="27"/>
        <v>2.998409542743539E-3</v>
      </c>
      <c r="AI309" s="15">
        <v>41787</v>
      </c>
      <c r="AJ309" s="2">
        <v>87.21</v>
      </c>
      <c r="AK309" s="2">
        <v>38.72</v>
      </c>
      <c r="AL309" s="2">
        <v>176.69</v>
      </c>
      <c r="AM309" s="2">
        <v>89.813448052366255</v>
      </c>
      <c r="AN309" s="2">
        <v>48.266247716076982</v>
      </c>
    </row>
    <row r="310" spans="2:40" x14ac:dyDescent="0.35">
      <c r="B310" s="15">
        <v>41786</v>
      </c>
      <c r="C310" s="49" t="str">
        <f>$S$4</f>
        <v>AAPL</v>
      </c>
      <c r="D310" s="53">
        <f>CHOOSE($S$3,AJ310,AK310,AL310,AM310,AN310)</f>
        <v>87.44</v>
      </c>
      <c r="E310" s="55">
        <f t="shared" si="25"/>
        <v>1.8584248138154538E-2</v>
      </c>
      <c r="F310" s="55">
        <f t="shared" si="28"/>
        <v>1.8584248138154538E-2</v>
      </c>
      <c r="G310" s="70">
        <f t="shared" si="29"/>
        <v>1.7269258295271459E-2</v>
      </c>
      <c r="H310" s="53"/>
      <c r="I310" s="15">
        <v>41786</v>
      </c>
      <c r="J310" s="55">
        <v>6.8999999999999999E-3</v>
      </c>
      <c r="K310" s="55">
        <v>6.9999999999999993E-3</v>
      </c>
      <c r="L310" s="55">
        <v>-1.9E-3</v>
      </c>
      <c r="M310" s="55">
        <v>0</v>
      </c>
      <c r="N310" s="70">
        <f t="shared" si="30"/>
        <v>6.3908548707753473E-3</v>
      </c>
      <c r="O310" s="70">
        <f t="shared" si="26"/>
        <v>7.0916500994035779E-3</v>
      </c>
      <c r="P310" s="70">
        <f t="shared" si="27"/>
        <v>-1.6015904572564612E-3</v>
      </c>
      <c r="AI310" s="15">
        <v>41786</v>
      </c>
      <c r="AJ310" s="2">
        <v>87.44</v>
      </c>
      <c r="AK310" s="2">
        <v>38.9</v>
      </c>
      <c r="AL310" s="2">
        <v>178.33</v>
      </c>
      <c r="AM310" s="2">
        <v>90.348696020472076</v>
      </c>
      <c r="AN310" s="2">
        <v>48.602435484308707</v>
      </c>
    </row>
    <row r="311" spans="2:40" x14ac:dyDescent="0.35">
      <c r="B311" s="15">
        <v>41782</v>
      </c>
      <c r="C311" s="49" t="str">
        <f>$S$4</f>
        <v>AAPL</v>
      </c>
      <c r="D311" s="53">
        <f>CHOOSE($S$3,AJ311,AK311,AL311,AM311,AN311)</f>
        <v>85.83</v>
      </c>
      <c r="E311" s="55">
        <f t="shared" si="25"/>
        <v>1.1247921748542963E-2</v>
      </c>
      <c r="F311" s="55">
        <f t="shared" si="28"/>
        <v>1.1247921748542963E-2</v>
      </c>
      <c r="G311" s="70">
        <f t="shared" si="29"/>
        <v>9.9329319056598864E-3</v>
      </c>
      <c r="H311" s="53"/>
      <c r="I311" s="15">
        <v>41782</v>
      </c>
      <c r="J311" s="55">
        <v>4.8999999999999998E-3</v>
      </c>
      <c r="K311" s="55">
        <v>6.1999999999999998E-3</v>
      </c>
      <c r="L311" s="55">
        <v>-2.3999999999999998E-3</v>
      </c>
      <c r="M311" s="55">
        <v>0</v>
      </c>
      <c r="N311" s="70">
        <f t="shared" si="30"/>
        <v>4.3908548707753473E-3</v>
      </c>
      <c r="O311" s="70">
        <f t="shared" si="26"/>
        <v>6.2916500994035784E-3</v>
      </c>
      <c r="P311" s="70">
        <f t="shared" si="27"/>
        <v>-2.101590457256461E-3</v>
      </c>
      <c r="AI311" s="15">
        <v>41782</v>
      </c>
      <c r="AJ311" s="2">
        <v>85.83</v>
      </c>
      <c r="AK311" s="2">
        <v>38.83</v>
      </c>
      <c r="AL311" s="2">
        <v>179.45</v>
      </c>
      <c r="AM311" s="2">
        <v>89.800634751010136</v>
      </c>
      <c r="AN311" s="2">
        <v>48.711329371337577</v>
      </c>
    </row>
    <row r="312" spans="2:40" x14ac:dyDescent="0.35">
      <c r="B312" s="15">
        <v>41781</v>
      </c>
      <c r="C312" s="49" t="str">
        <f>$S$4</f>
        <v>AAPL</v>
      </c>
      <c r="D312" s="53">
        <f>CHOOSE($S$3,AJ312,AK312,AL312,AM312,AN312)</f>
        <v>84.87</v>
      </c>
      <c r="E312" s="55">
        <f t="shared" si="25"/>
        <v>1.5329287831723831E-3</v>
      </c>
      <c r="F312" s="55">
        <f t="shared" si="28"/>
        <v>1.5329287831723831E-3</v>
      </c>
      <c r="G312" s="70">
        <f t="shared" si="29"/>
        <v>2.1793894028930604E-4</v>
      </c>
      <c r="H312" s="53"/>
      <c r="I312" s="15">
        <v>41781</v>
      </c>
      <c r="J312" s="55">
        <v>3.5999999999999999E-3</v>
      </c>
      <c r="K312" s="55">
        <v>6.3E-3</v>
      </c>
      <c r="L312" s="55">
        <v>-2.7000000000000001E-3</v>
      </c>
      <c r="M312" s="55">
        <v>0</v>
      </c>
      <c r="N312" s="70">
        <f t="shared" si="30"/>
        <v>3.0908548707753473E-3</v>
      </c>
      <c r="O312" s="70">
        <f t="shared" si="26"/>
        <v>6.3916500994035787E-3</v>
      </c>
      <c r="P312" s="70">
        <f t="shared" si="27"/>
        <v>-2.4015904572564613E-3</v>
      </c>
      <c r="AI312" s="15">
        <v>41781</v>
      </c>
      <c r="AJ312" s="2">
        <v>84.87</v>
      </c>
      <c r="AK312" s="2">
        <v>38.81</v>
      </c>
      <c r="AL312" s="2">
        <v>179.2</v>
      </c>
      <c r="AM312" s="2">
        <v>89.23587648881859</v>
      </c>
      <c r="AN312" s="2">
        <v>48.664853614477998</v>
      </c>
    </row>
    <row r="313" spans="2:40" x14ac:dyDescent="0.35">
      <c r="B313" s="15">
        <v>41780</v>
      </c>
      <c r="C313" s="49" t="str">
        <f>$S$4</f>
        <v>AAPL</v>
      </c>
      <c r="D313" s="53">
        <f>CHOOSE($S$3,AJ313,AK313,AL313,AM313,AN313)</f>
        <v>84.74</v>
      </c>
      <c r="E313" s="55">
        <f t="shared" si="25"/>
        <v>2.717874642022047E-3</v>
      </c>
      <c r="F313" s="55">
        <f t="shared" si="28"/>
        <v>2.717874642022047E-3</v>
      </c>
      <c r="G313" s="70">
        <f t="shared" si="29"/>
        <v>1.4028847991389699E-3</v>
      </c>
      <c r="H313" s="53"/>
      <c r="I313" s="15">
        <v>41780</v>
      </c>
      <c r="J313" s="55">
        <v>8.1000000000000013E-3</v>
      </c>
      <c r="K313" s="55">
        <v>-2.5999999999999999E-3</v>
      </c>
      <c r="L313" s="55">
        <v>5.0000000000000001E-4</v>
      </c>
      <c r="M313" s="55">
        <v>0</v>
      </c>
      <c r="N313" s="70">
        <f t="shared" si="30"/>
        <v>7.5908548707753487E-3</v>
      </c>
      <c r="O313" s="70">
        <f t="shared" si="26"/>
        <v>-2.5083499005964217E-3</v>
      </c>
      <c r="P313" s="70">
        <f t="shared" si="27"/>
        <v>7.9840954274353884E-4</v>
      </c>
      <c r="AI313" s="15">
        <v>41780</v>
      </c>
      <c r="AJ313" s="2">
        <v>84.74</v>
      </c>
      <c r="AK313" s="2">
        <v>39.049999999999997</v>
      </c>
      <c r="AL313" s="2">
        <v>179.89</v>
      </c>
      <c r="AM313" s="2">
        <v>89.339331744416441</v>
      </c>
      <c r="AN313" s="2">
        <v>48.909015395711037</v>
      </c>
    </row>
    <row r="314" spans="2:40" x14ac:dyDescent="0.35">
      <c r="B314" s="15">
        <v>41779</v>
      </c>
      <c r="C314" s="49" t="str">
        <f>$S$4</f>
        <v>AAPL</v>
      </c>
      <c r="D314" s="53">
        <f>CHOOSE($S$3,AJ314,AK314,AL314,AM314,AN314)</f>
        <v>84.51</v>
      </c>
      <c r="E314" s="55">
        <f t="shared" si="25"/>
        <v>1.183361932627563E-4</v>
      </c>
      <c r="F314" s="55">
        <f t="shared" si="28"/>
        <v>1.183361932627563E-4</v>
      </c>
      <c r="G314" s="70">
        <f t="shared" si="29"/>
        <v>-1.1966536496203209E-3</v>
      </c>
      <c r="H314" s="53"/>
      <c r="I314" s="15">
        <v>41779</v>
      </c>
      <c r="J314" s="55">
        <v>-7.8000000000000005E-3</v>
      </c>
      <c r="K314" s="55">
        <v>-8.1000000000000013E-3</v>
      </c>
      <c r="L314" s="55">
        <v>2.3E-3</v>
      </c>
      <c r="M314" s="55">
        <v>0</v>
      </c>
      <c r="N314" s="70">
        <f t="shared" si="30"/>
        <v>-8.3091451292246522E-3</v>
      </c>
      <c r="O314" s="70">
        <f t="shared" si="26"/>
        <v>-8.0083499005964235E-3</v>
      </c>
      <c r="P314" s="70">
        <f t="shared" si="27"/>
        <v>2.5984095427435388E-3</v>
      </c>
      <c r="AI314" s="15">
        <v>41779</v>
      </c>
      <c r="AJ314" s="2">
        <v>84.51</v>
      </c>
      <c r="AK314" s="2">
        <v>38.409999999999997</v>
      </c>
      <c r="AL314" s="2">
        <v>178.44</v>
      </c>
      <c r="AM314" s="2">
        <v>88.858031015658426</v>
      </c>
      <c r="AN314" s="2">
        <v>48.311109383924652</v>
      </c>
    </row>
    <row r="315" spans="2:40" x14ac:dyDescent="0.35">
      <c r="B315" s="15">
        <v>41778</v>
      </c>
      <c r="C315" s="49" t="str">
        <f>$S$4</f>
        <v>AAPL</v>
      </c>
      <c r="D315" s="53">
        <f>CHOOSE($S$3,AJ315,AK315,AL315,AM315,AN315)</f>
        <v>84.5</v>
      </c>
      <c r="E315" s="55">
        <f t="shared" si="25"/>
        <v>1.1785149197990055E-2</v>
      </c>
      <c r="F315" s="55">
        <f t="shared" si="28"/>
        <v>1.1785149197990055E-2</v>
      </c>
      <c r="G315" s="70">
        <f t="shared" si="29"/>
        <v>1.0470159355106978E-2</v>
      </c>
      <c r="H315" s="53"/>
      <c r="I315" s="15">
        <v>41778</v>
      </c>
      <c r="J315" s="55">
        <v>5.0000000000000001E-3</v>
      </c>
      <c r="K315" s="55">
        <v>6.3E-3</v>
      </c>
      <c r="L315" s="55">
        <v>0</v>
      </c>
      <c r="M315" s="55">
        <v>0</v>
      </c>
      <c r="N315" s="70">
        <f t="shared" si="30"/>
        <v>4.4908548707753475E-3</v>
      </c>
      <c r="O315" s="70">
        <f t="shared" si="26"/>
        <v>6.3916500994035787E-3</v>
      </c>
      <c r="P315" s="70">
        <f t="shared" si="27"/>
        <v>2.9840954274353883E-4</v>
      </c>
      <c r="AI315" s="15">
        <v>41778</v>
      </c>
      <c r="AJ315" s="2">
        <v>84.5</v>
      </c>
      <c r="AK315" s="2">
        <v>38.47</v>
      </c>
      <c r="AL315" s="2">
        <v>180.48</v>
      </c>
      <c r="AM315" s="2">
        <v>89.36070467647184</v>
      </c>
      <c r="AN315" s="2">
        <v>48.624998919612977</v>
      </c>
    </row>
    <row r="316" spans="2:40" x14ac:dyDescent="0.35">
      <c r="B316" s="15">
        <v>41775</v>
      </c>
      <c r="C316" s="49" t="str">
        <f>$S$4</f>
        <v>AAPL</v>
      </c>
      <c r="D316" s="53">
        <f>CHOOSE($S$3,AJ316,AK316,AL316,AM316,AN316)</f>
        <v>83.51</v>
      </c>
      <c r="E316" s="55">
        <f t="shared" si="25"/>
        <v>1.4716791547516584E-2</v>
      </c>
      <c r="F316" s="55">
        <f t="shared" si="28"/>
        <v>1.4716791547516584E-2</v>
      </c>
      <c r="G316" s="70">
        <f t="shared" si="29"/>
        <v>1.3401801704633507E-2</v>
      </c>
      <c r="H316" s="53"/>
      <c r="I316" s="15">
        <v>41775</v>
      </c>
      <c r="J316" s="55">
        <v>3.5999999999999999E-3</v>
      </c>
      <c r="K316" s="55">
        <v>2.5999999999999999E-3</v>
      </c>
      <c r="L316" s="55">
        <v>-4.0000000000000001E-3</v>
      </c>
      <c r="M316" s="55">
        <v>0</v>
      </c>
      <c r="N316" s="70">
        <f t="shared" si="30"/>
        <v>3.0908548707753473E-3</v>
      </c>
      <c r="O316" s="70">
        <f t="shared" si="26"/>
        <v>2.6916500994035781E-3</v>
      </c>
      <c r="P316" s="70">
        <f t="shared" si="27"/>
        <v>-3.7015904572564613E-3</v>
      </c>
      <c r="AI316" s="15">
        <v>41775</v>
      </c>
      <c r="AJ316" s="2">
        <v>83.51</v>
      </c>
      <c r="AK316" s="2">
        <v>38.549999999999997</v>
      </c>
      <c r="AL316" s="2">
        <v>180.53</v>
      </c>
      <c r="AM316" s="2">
        <v>88.849608926448525</v>
      </c>
      <c r="AN316" s="2">
        <v>48.682293306246947</v>
      </c>
    </row>
    <row r="317" spans="2:40" x14ac:dyDescent="0.35">
      <c r="B317" s="15">
        <v>41774</v>
      </c>
      <c r="C317" s="49" t="str">
        <f>$S$4</f>
        <v>AAPL</v>
      </c>
      <c r="D317" s="53">
        <f>CHOOSE($S$3,AJ317,AK317,AL317,AM317,AN317)</f>
        <v>82.29</v>
      </c>
      <c r="E317" s="55">
        <f t="shared" si="25"/>
        <v>-8.5910141789763105E-3</v>
      </c>
      <c r="F317" s="55">
        <f t="shared" si="28"/>
        <v>-8.5910141789763105E-3</v>
      </c>
      <c r="G317" s="70">
        <f t="shared" si="29"/>
        <v>-9.9060040218593871E-3</v>
      </c>
      <c r="H317" s="53"/>
      <c r="I317" s="15">
        <v>41774</v>
      </c>
      <c r="J317" s="55">
        <v>-9.0000000000000011E-3</v>
      </c>
      <c r="K317" s="55">
        <v>3.3E-3</v>
      </c>
      <c r="L317" s="55">
        <v>-2.7000000000000001E-3</v>
      </c>
      <c r="M317" s="55">
        <v>0</v>
      </c>
      <c r="N317" s="70">
        <f t="shared" si="30"/>
        <v>-9.5091451292246536E-3</v>
      </c>
      <c r="O317" s="70">
        <f t="shared" si="26"/>
        <v>3.3916500994035782E-3</v>
      </c>
      <c r="P317" s="70">
        <f t="shared" si="27"/>
        <v>-2.4015904572564613E-3</v>
      </c>
      <c r="AI317" s="15">
        <v>41774</v>
      </c>
      <c r="AJ317" s="2">
        <v>82.29</v>
      </c>
      <c r="AK317" s="2">
        <v>38.33</v>
      </c>
      <c r="AL317" s="2">
        <v>179.95</v>
      </c>
      <c r="AM317" s="2">
        <v>88.05787933362447</v>
      </c>
      <c r="AN317" s="2">
        <v>48.46517912340304</v>
      </c>
    </row>
    <row r="318" spans="2:40" x14ac:dyDescent="0.35">
      <c r="B318" s="15">
        <v>41773</v>
      </c>
      <c r="C318" s="49" t="str">
        <f>$S$4</f>
        <v>AAPL</v>
      </c>
      <c r="D318" s="53">
        <f>CHOOSE($S$3,AJ318,AK318,AL318,AM318,AN318)</f>
        <v>83</v>
      </c>
      <c r="E318" s="55">
        <f t="shared" si="25"/>
        <v>2.4099289187597798E-4</v>
      </c>
      <c r="F318" s="55">
        <f t="shared" si="28"/>
        <v>2.4099289187597798E-4</v>
      </c>
      <c r="G318" s="70">
        <f t="shared" si="29"/>
        <v>-1.073996951007099E-3</v>
      </c>
      <c r="H318" s="53"/>
      <c r="I318" s="15">
        <v>41773</v>
      </c>
      <c r="J318" s="55">
        <v>-6.0000000000000001E-3</v>
      </c>
      <c r="K318" s="55">
        <v>-1.1000000000000001E-2</v>
      </c>
      <c r="L318" s="55">
        <v>-4.3E-3</v>
      </c>
      <c r="M318" s="55">
        <v>0</v>
      </c>
      <c r="N318" s="70">
        <f t="shared" si="30"/>
        <v>-6.5091451292246527E-3</v>
      </c>
      <c r="O318" s="70">
        <f t="shared" si="26"/>
        <v>-1.0908349900596423E-2</v>
      </c>
      <c r="P318" s="70">
        <f t="shared" si="27"/>
        <v>-4.0015904572564612E-3</v>
      </c>
      <c r="AI318" s="15">
        <v>41773</v>
      </c>
      <c r="AJ318" s="2">
        <v>83</v>
      </c>
      <c r="AK318" s="2">
        <v>38.950000000000003</v>
      </c>
      <c r="AL318" s="2">
        <v>182.14</v>
      </c>
      <c r="AM318" s="2">
        <v>88.973596306423488</v>
      </c>
      <c r="AN318" s="2">
        <v>49.152060763730354</v>
      </c>
    </row>
    <row r="319" spans="2:40" x14ac:dyDescent="0.35">
      <c r="B319" s="15">
        <v>41772</v>
      </c>
      <c r="C319" s="49" t="str">
        <f>$S$4</f>
        <v>AAPL</v>
      </c>
      <c r="D319" s="53">
        <f>CHOOSE($S$3,AJ319,AK319,AL319,AM319,AN319)</f>
        <v>82.98</v>
      </c>
      <c r="E319" s="55">
        <f t="shared" si="25"/>
        <v>1.5678710321499463E-3</v>
      </c>
      <c r="F319" s="55">
        <f t="shared" si="28"/>
        <v>1.5678710321499463E-3</v>
      </c>
      <c r="G319" s="70">
        <f t="shared" si="29"/>
        <v>2.5288118926686926E-4</v>
      </c>
      <c r="H319" s="53"/>
      <c r="I319" s="15">
        <v>41772</v>
      </c>
      <c r="J319" s="55">
        <v>-5.0000000000000001E-4</v>
      </c>
      <c r="K319" s="55">
        <v>-1.06E-2</v>
      </c>
      <c r="L319" s="55">
        <v>1.8E-3</v>
      </c>
      <c r="M319" s="55">
        <v>0</v>
      </c>
      <c r="N319" s="70">
        <f t="shared" si="30"/>
        <v>-1.0091451292246526E-3</v>
      </c>
      <c r="O319" s="70">
        <f t="shared" si="26"/>
        <v>-1.0508349900596422E-2</v>
      </c>
      <c r="P319" s="70">
        <f t="shared" si="27"/>
        <v>2.0984095427435388E-3</v>
      </c>
      <c r="AI319" s="15">
        <v>41772</v>
      </c>
      <c r="AJ319" s="2">
        <v>82.98</v>
      </c>
      <c r="AK319" s="2">
        <v>39.119999999999997</v>
      </c>
      <c r="AL319" s="2">
        <v>185.48</v>
      </c>
      <c r="AM319" s="2">
        <v>89.778655150058981</v>
      </c>
      <c r="AN319" s="2">
        <v>49.70998857053754</v>
      </c>
    </row>
    <row r="320" spans="2:40" x14ac:dyDescent="0.35">
      <c r="B320" s="15">
        <v>41771</v>
      </c>
      <c r="C320" s="49" t="str">
        <f>$S$4</f>
        <v>AAPL</v>
      </c>
      <c r="D320" s="53">
        <f>CHOOSE($S$3,AJ320,AK320,AL320,AM320,AN320)</f>
        <v>82.85</v>
      </c>
      <c r="E320" s="55">
        <f t="shared" si="25"/>
        <v>1.2265622229200756E-2</v>
      </c>
      <c r="F320" s="55">
        <f t="shared" si="28"/>
        <v>1.2265622229200756E-2</v>
      </c>
      <c r="G320" s="70">
        <f t="shared" si="29"/>
        <v>1.0950632386317679E-2</v>
      </c>
      <c r="H320" s="53"/>
      <c r="I320" s="15">
        <v>41771</v>
      </c>
      <c r="J320" s="55">
        <v>1.2E-2</v>
      </c>
      <c r="K320" s="55">
        <v>1.4199999999999999E-2</v>
      </c>
      <c r="L320" s="55">
        <v>-3.0000000000000001E-3</v>
      </c>
      <c r="M320" s="55">
        <v>0</v>
      </c>
      <c r="N320" s="70">
        <f t="shared" si="30"/>
        <v>1.1490854870775348E-2</v>
      </c>
      <c r="O320" s="70">
        <f t="shared" si="26"/>
        <v>1.4291650099403577E-2</v>
      </c>
      <c r="P320" s="70">
        <f t="shared" si="27"/>
        <v>-2.7015904572564612E-3</v>
      </c>
      <c r="AI320" s="15">
        <v>41771</v>
      </c>
      <c r="AJ320" s="2">
        <v>82.85</v>
      </c>
      <c r="AK320" s="2">
        <v>38.409999999999997</v>
      </c>
      <c r="AL320" s="2">
        <v>185.85</v>
      </c>
      <c r="AM320" s="2">
        <v>89.797875937544802</v>
      </c>
      <c r="AN320" s="2">
        <v>49.308469559213719</v>
      </c>
    </row>
    <row r="321" spans="2:40" x14ac:dyDescent="0.35">
      <c r="B321" s="15">
        <v>41768</v>
      </c>
      <c r="C321" s="49" t="str">
        <f>$S$4</f>
        <v>AAPL</v>
      </c>
      <c r="D321" s="53">
        <f>CHOOSE($S$3,AJ321,AK321,AL321,AM321,AN321)</f>
        <v>81.84</v>
      </c>
      <c r="E321" s="55">
        <f t="shared" si="25"/>
        <v>-4.1458418118927361E-3</v>
      </c>
      <c r="F321" s="55">
        <f t="shared" si="28"/>
        <v>-4.1458418118927361E-3</v>
      </c>
      <c r="G321" s="70">
        <f t="shared" si="29"/>
        <v>-5.4608316547758128E-3</v>
      </c>
      <c r="H321" s="53"/>
      <c r="I321" s="15">
        <v>41768</v>
      </c>
      <c r="J321" s="55">
        <v>2.5000000000000001E-3</v>
      </c>
      <c r="K321" s="55">
        <v>7.0999999999999995E-3</v>
      </c>
      <c r="L321" s="55">
        <v>-3.9000000000000003E-3</v>
      </c>
      <c r="M321" s="55">
        <v>0</v>
      </c>
      <c r="N321" s="70">
        <f t="shared" si="30"/>
        <v>1.9908548707753475E-3</v>
      </c>
      <c r="O321" s="70">
        <f t="shared" si="26"/>
        <v>7.1916500994035782E-3</v>
      </c>
      <c r="P321" s="70">
        <f t="shared" si="27"/>
        <v>-3.6015904572564614E-3</v>
      </c>
      <c r="AI321" s="15">
        <v>41768</v>
      </c>
      <c r="AJ321" s="2">
        <v>81.84</v>
      </c>
      <c r="AK321" s="2">
        <v>38</v>
      </c>
      <c r="AL321" s="2">
        <v>183.45</v>
      </c>
      <c r="AM321" s="2">
        <v>88.670717458013442</v>
      </c>
      <c r="AN321" s="2">
        <v>48.726926859754286</v>
      </c>
    </row>
    <row r="322" spans="2:40" x14ac:dyDescent="0.35">
      <c r="B322" s="15">
        <v>41767</v>
      </c>
      <c r="C322" s="49" t="str">
        <f>$S$4</f>
        <v>AAPL</v>
      </c>
      <c r="D322" s="53">
        <f>CHOOSE($S$3,AJ322,AK322,AL322,AM322,AN322)</f>
        <v>82.18</v>
      </c>
      <c r="E322" s="55">
        <f t="shared" si="25"/>
        <v>-1.7021280705303073E-3</v>
      </c>
      <c r="F322" s="55">
        <f t="shared" si="28"/>
        <v>-1.7021280705303073E-3</v>
      </c>
      <c r="G322" s="70">
        <f t="shared" si="29"/>
        <v>-3.0171179134133846E-3</v>
      </c>
      <c r="H322" s="53"/>
      <c r="I322" s="15">
        <v>41767</v>
      </c>
      <c r="J322" s="55">
        <v>-2.5999999999999999E-3</v>
      </c>
      <c r="K322" s="55">
        <v>-0.01</v>
      </c>
      <c r="L322" s="55">
        <v>3.4000000000000002E-3</v>
      </c>
      <c r="M322" s="55">
        <v>0</v>
      </c>
      <c r="N322" s="70">
        <f t="shared" si="30"/>
        <v>-3.1091451292246525E-3</v>
      </c>
      <c r="O322" s="70">
        <f t="shared" si="26"/>
        <v>-9.9083499005964224E-3</v>
      </c>
      <c r="P322" s="70">
        <f t="shared" si="27"/>
        <v>3.6984095427435391E-3</v>
      </c>
      <c r="AI322" s="15">
        <v>41767</v>
      </c>
      <c r="AJ322" s="2">
        <v>82.18</v>
      </c>
      <c r="AK322" s="2">
        <v>38.1</v>
      </c>
      <c r="AL322" s="2">
        <v>182.32</v>
      </c>
      <c r="AM322" s="2">
        <v>88.581813144591507</v>
      </c>
      <c r="AN322" s="2">
        <v>48.640969208442755</v>
      </c>
    </row>
    <row r="323" spans="2:40" x14ac:dyDescent="0.35">
      <c r="B323" s="15">
        <v>41766</v>
      </c>
      <c r="C323" s="49" t="str">
        <f>$S$4</f>
        <v>AAPL</v>
      </c>
      <c r="D323" s="53">
        <f>CHOOSE($S$3,AJ323,AK323,AL323,AM323,AN323)</f>
        <v>82.32</v>
      </c>
      <c r="E323" s="55">
        <f t="shared" si="25"/>
        <v>-3.5166470486198051E-3</v>
      </c>
      <c r="F323" s="55">
        <f t="shared" si="28"/>
        <v>-3.5166470486198051E-3</v>
      </c>
      <c r="G323" s="70">
        <f t="shared" si="29"/>
        <v>-4.8316368915028822E-3</v>
      </c>
      <c r="H323" s="53"/>
      <c r="I323" s="15">
        <v>41766</v>
      </c>
      <c r="J323" s="55">
        <v>4.5000000000000005E-3</v>
      </c>
      <c r="K323" s="55">
        <v>-8.6E-3</v>
      </c>
      <c r="L323" s="55">
        <v>1.1699999999999999E-2</v>
      </c>
      <c r="M323" s="55">
        <v>0</v>
      </c>
      <c r="N323" s="70">
        <f t="shared" si="30"/>
        <v>3.9908548707753479E-3</v>
      </c>
      <c r="O323" s="70">
        <f t="shared" si="26"/>
        <v>-8.5083499005964222E-3</v>
      </c>
      <c r="P323" s="70">
        <f t="shared" si="27"/>
        <v>1.1998409542743537E-2</v>
      </c>
      <c r="AI323" s="15">
        <v>41766</v>
      </c>
      <c r="AJ323" s="2">
        <v>82.32</v>
      </c>
      <c r="AK323" s="2">
        <v>37.89</v>
      </c>
      <c r="AL323" s="2">
        <v>182.7</v>
      </c>
      <c r="AM323" s="2">
        <v>88.749579347324314</v>
      </c>
      <c r="AN323" s="2">
        <v>48.557609201976256</v>
      </c>
    </row>
    <row r="324" spans="2:40" x14ac:dyDescent="0.35">
      <c r="B324" s="15">
        <v>41765</v>
      </c>
      <c r="C324" s="49" t="str">
        <f>$S$4</f>
        <v>AAPL</v>
      </c>
      <c r="D324" s="53">
        <f>CHOOSE($S$3,AJ324,AK324,AL324,AM324,AN324)</f>
        <v>82.61</v>
      </c>
      <c r="E324" s="55">
        <f t="shared" si="25"/>
        <v>-1.095538555991458E-2</v>
      </c>
      <c r="F324" s="55">
        <f t="shared" si="28"/>
        <v>-1.095538555991458E-2</v>
      </c>
      <c r="G324" s="70">
        <f t="shared" si="29"/>
        <v>-1.2270375402797656E-2</v>
      </c>
      <c r="H324" s="53"/>
      <c r="I324" s="15">
        <v>41765</v>
      </c>
      <c r="J324" s="55">
        <v>-1.03E-2</v>
      </c>
      <c r="K324" s="55">
        <v>-5.4000000000000003E-3</v>
      </c>
      <c r="L324" s="55">
        <v>1.7000000000000001E-3</v>
      </c>
      <c r="M324" s="55">
        <v>0</v>
      </c>
      <c r="N324" s="70">
        <f t="shared" si="30"/>
        <v>-1.0809145129224653E-2</v>
      </c>
      <c r="O324" s="70">
        <f t="shared" si="26"/>
        <v>-5.3083499005964216E-3</v>
      </c>
      <c r="P324" s="70">
        <f t="shared" si="27"/>
        <v>1.9984095427435389E-3</v>
      </c>
      <c r="AI324" s="15">
        <v>41765</v>
      </c>
      <c r="AJ324" s="2">
        <v>82.61</v>
      </c>
      <c r="AK324" s="2">
        <v>37.54</v>
      </c>
      <c r="AL324" s="2">
        <v>182.34</v>
      </c>
      <c r="AM324" s="2">
        <v>88.818466520396015</v>
      </c>
      <c r="AN324" s="2">
        <v>48.285499422249259</v>
      </c>
    </row>
    <row r="325" spans="2:40" x14ac:dyDescent="0.35">
      <c r="B325" s="15">
        <v>41764</v>
      </c>
      <c r="C325" s="49" t="str">
        <f>$S$4</f>
        <v>AAPL</v>
      </c>
      <c r="D325" s="53">
        <f>CHOOSE($S$3,AJ325,AK325,AL325,AM325,AN325)</f>
        <v>83.52</v>
      </c>
      <c r="E325" s="55">
        <f t="shared" si="25"/>
        <v>1.398624197473987E-2</v>
      </c>
      <c r="F325" s="55">
        <f t="shared" si="28"/>
        <v>1.398624197473987E-2</v>
      </c>
      <c r="G325" s="70">
        <f t="shared" si="29"/>
        <v>1.2671252131856794E-2</v>
      </c>
      <c r="H325" s="53"/>
      <c r="I325" s="15">
        <v>41764</v>
      </c>
      <c r="J325" s="55">
        <v>1.2999999999999999E-3</v>
      </c>
      <c r="K325" s="55">
        <v>-3.0000000000000001E-3</v>
      </c>
      <c r="L325" s="55">
        <v>-5.1999999999999998E-3</v>
      </c>
      <c r="M325" s="55">
        <v>0</v>
      </c>
      <c r="N325" s="70">
        <f t="shared" si="30"/>
        <v>7.9085487077534735E-4</v>
      </c>
      <c r="O325" s="70">
        <f t="shared" si="26"/>
        <v>-2.9083499005964218E-3</v>
      </c>
      <c r="P325" s="70">
        <f t="shared" si="27"/>
        <v>-4.9015904572564609E-3</v>
      </c>
      <c r="AI325" s="15">
        <v>41764</v>
      </c>
      <c r="AJ325" s="2">
        <v>83.52</v>
      </c>
      <c r="AK325" s="2">
        <v>37.9</v>
      </c>
      <c r="AL325" s="2">
        <v>183.52</v>
      </c>
      <c r="AM325" s="2">
        <v>89.595052671914942</v>
      </c>
      <c r="AN325" s="2">
        <v>48.673260903584627</v>
      </c>
    </row>
    <row r="326" spans="2:40" x14ac:dyDescent="0.35">
      <c r="B326" s="15">
        <v>41761</v>
      </c>
      <c r="C326" s="49" t="str">
        <f>$S$4</f>
        <v>AAPL</v>
      </c>
      <c r="D326" s="53">
        <f>CHOOSE($S$3,AJ326,AK326,AL326,AM326,AN326)</f>
        <v>82.36</v>
      </c>
      <c r="E326" s="55">
        <f t="shared" si="25"/>
        <v>1.8229329955467657E-3</v>
      </c>
      <c r="F326" s="55">
        <f t="shared" si="28"/>
        <v>1.8229329955467657E-3</v>
      </c>
      <c r="G326" s="70">
        <f t="shared" si="29"/>
        <v>5.0794315266368861E-4</v>
      </c>
      <c r="H326" s="53"/>
      <c r="I326" s="15">
        <v>41761</v>
      </c>
      <c r="J326" s="55">
        <v>-7.000000000000001E-4</v>
      </c>
      <c r="K326" s="55">
        <v>2.3E-3</v>
      </c>
      <c r="L326" s="55">
        <v>3.3E-3</v>
      </c>
      <c r="M326" s="55">
        <v>0</v>
      </c>
      <c r="N326" s="70">
        <f t="shared" si="30"/>
        <v>-1.2091451292246527E-3</v>
      </c>
      <c r="O326" s="70">
        <f t="shared" si="26"/>
        <v>2.3916500994035782E-3</v>
      </c>
      <c r="P326" s="70">
        <f t="shared" si="27"/>
        <v>3.5984095427435388E-3</v>
      </c>
      <c r="AI326" s="15">
        <v>41761</v>
      </c>
      <c r="AJ326" s="2">
        <v>82.36</v>
      </c>
      <c r="AK326" s="2">
        <v>38.15</v>
      </c>
      <c r="AL326" s="2">
        <v>183.69</v>
      </c>
      <c r="AM326" s="2">
        <v>89.014362078789844</v>
      </c>
      <c r="AN326" s="2">
        <v>48.856336506788502</v>
      </c>
    </row>
    <row r="327" spans="2:40" x14ac:dyDescent="0.35">
      <c r="B327" s="15">
        <v>41760</v>
      </c>
      <c r="C327" s="49" t="str">
        <f>$S$4</f>
        <v>AAPL</v>
      </c>
      <c r="D327" s="53">
        <f>CHOOSE($S$3,AJ327,AK327,AL327,AM327,AN327)</f>
        <v>82.21</v>
      </c>
      <c r="E327" s="55">
        <f t="shared" si="25"/>
        <v>2.4357581157219829E-3</v>
      </c>
      <c r="F327" s="55">
        <f t="shared" si="28"/>
        <v>2.4357581157219829E-3</v>
      </c>
      <c r="G327" s="70">
        <f t="shared" si="29"/>
        <v>1.1207682728389058E-3</v>
      </c>
      <c r="H327" s="53"/>
      <c r="I327" s="15">
        <v>41760</v>
      </c>
      <c r="J327" s="55">
        <v>4.0000000000000002E-4</v>
      </c>
      <c r="K327" s="55">
        <v>-1.5E-3</v>
      </c>
      <c r="L327" s="55">
        <v>-1.8E-3</v>
      </c>
      <c r="M327" s="55">
        <v>0</v>
      </c>
      <c r="N327" s="70">
        <f t="shared" si="30"/>
        <v>-1.0914512922465257E-4</v>
      </c>
      <c r="O327" s="70">
        <f t="shared" si="26"/>
        <v>-1.4083499005964218E-3</v>
      </c>
      <c r="P327" s="70">
        <f t="shared" si="27"/>
        <v>-1.5015904572564611E-3</v>
      </c>
      <c r="AI327" s="15">
        <v>41760</v>
      </c>
      <c r="AJ327" s="2">
        <v>82.21</v>
      </c>
      <c r="AK327" s="2">
        <v>38.44</v>
      </c>
      <c r="AL327" s="2">
        <v>185.7</v>
      </c>
      <c r="AM327" s="2">
        <v>89.420315462248823</v>
      </c>
      <c r="AN327" s="2">
        <v>49.309330535433659</v>
      </c>
    </row>
    <row r="328" spans="2:40" x14ac:dyDescent="0.35">
      <c r="B328" s="15">
        <v>41759</v>
      </c>
      <c r="C328" s="49" t="str">
        <f>$S$4</f>
        <v>AAPL</v>
      </c>
      <c r="D328" s="53">
        <f>CHOOSE($S$3,AJ328,AK328,AL328,AM328,AN328)</f>
        <v>82.01</v>
      </c>
      <c r="E328" s="55">
        <f t="shared" si="25"/>
        <v>-3.7729004774742321E-3</v>
      </c>
      <c r="F328" s="55">
        <f t="shared" si="28"/>
        <v>-3.7729004774742321E-3</v>
      </c>
      <c r="G328" s="70">
        <f t="shared" si="29"/>
        <v>-5.0878903203573096E-3</v>
      </c>
      <c r="H328" s="53"/>
      <c r="I328" s="15">
        <v>41759</v>
      </c>
      <c r="J328" s="55">
        <v>3.4999999999999996E-3</v>
      </c>
      <c r="K328" s="55">
        <v>2.5000000000000001E-3</v>
      </c>
      <c r="L328" s="55">
        <v>-2.9999999999999997E-4</v>
      </c>
      <c r="M328" s="55">
        <v>0</v>
      </c>
      <c r="N328" s="70">
        <f t="shared" si="30"/>
        <v>2.990854870775347E-3</v>
      </c>
      <c r="O328" s="70">
        <f t="shared" si="26"/>
        <v>2.5916500994035783E-3</v>
      </c>
      <c r="P328" s="70">
        <f t="shared" si="27"/>
        <v>-1.5904572564611461E-6</v>
      </c>
      <c r="AI328" s="15">
        <v>41759</v>
      </c>
      <c r="AJ328" s="2">
        <v>82.01</v>
      </c>
      <c r="AK328" s="2">
        <v>38.83</v>
      </c>
      <c r="AL328" s="2">
        <v>188.52</v>
      </c>
      <c r="AM328" s="2">
        <v>89.990503632451635</v>
      </c>
      <c r="AN328" s="2">
        <v>49.933869328301185</v>
      </c>
    </row>
    <row r="329" spans="2:40" x14ac:dyDescent="0.35">
      <c r="B329" s="15">
        <v>41758</v>
      </c>
      <c r="C329" s="49" t="str">
        <f>$S$4</f>
        <v>AAPL</v>
      </c>
      <c r="D329" s="53">
        <f>CHOOSE($S$3,AJ329,AK329,AL329,AM329,AN329)</f>
        <v>82.32</v>
      </c>
      <c r="E329" s="55">
        <f t="shared" si="25"/>
        <v>-3.0323269035430413E-3</v>
      </c>
      <c r="F329" s="55">
        <f t="shared" si="28"/>
        <v>-3.0323269035430413E-3</v>
      </c>
      <c r="G329" s="70">
        <f t="shared" si="29"/>
        <v>-4.3473167464261183E-3</v>
      </c>
      <c r="H329" s="53"/>
      <c r="I329" s="15">
        <v>41758</v>
      </c>
      <c r="J329" s="55">
        <v>5.6000000000000008E-3</v>
      </c>
      <c r="K329" s="55">
        <v>-2.0999999999999999E-3</v>
      </c>
      <c r="L329" s="55">
        <v>-2.2000000000000001E-3</v>
      </c>
      <c r="M329" s="55">
        <v>0</v>
      </c>
      <c r="N329" s="70">
        <f t="shared" si="30"/>
        <v>5.0908548707753482E-3</v>
      </c>
      <c r="O329" s="70">
        <f t="shared" si="26"/>
        <v>-2.0083499005964216E-3</v>
      </c>
      <c r="P329" s="70">
        <f t="shared" si="27"/>
        <v>-1.9015904572564613E-3</v>
      </c>
      <c r="AI329" s="15">
        <v>41758</v>
      </c>
      <c r="AJ329" s="2">
        <v>82.32</v>
      </c>
      <c r="AK329" s="2">
        <v>38.93</v>
      </c>
      <c r="AL329" s="2">
        <v>187.21</v>
      </c>
      <c r="AM329" s="2">
        <v>89.847920967960036</v>
      </c>
      <c r="AN329" s="2">
        <v>49.824675528564967</v>
      </c>
    </row>
    <row r="330" spans="2:40" x14ac:dyDescent="0.35">
      <c r="B330" s="15">
        <v>41757</v>
      </c>
      <c r="C330" s="49" t="str">
        <f>$S$4</f>
        <v>AAPL</v>
      </c>
      <c r="D330" s="53">
        <f>CHOOSE($S$3,AJ330,AK330,AL330,AM330,AN330)</f>
        <v>82.57</v>
      </c>
      <c r="E330" s="55">
        <f t="shared" si="25"/>
        <v>3.8015190844315982E-2</v>
      </c>
      <c r="F330" s="55">
        <f t="shared" si="28"/>
        <v>3.8015190844315982E-2</v>
      </c>
      <c r="G330" s="70">
        <f t="shared" si="29"/>
        <v>3.6700201001432904E-2</v>
      </c>
      <c r="H330" s="53"/>
      <c r="I330" s="15">
        <v>41757</v>
      </c>
      <c r="J330" s="55">
        <v>1.1000000000000001E-3</v>
      </c>
      <c r="K330" s="55">
        <v>-6.5000000000000006E-3</v>
      </c>
      <c r="L330" s="55">
        <v>-5.4000000000000003E-3</v>
      </c>
      <c r="M330" s="55">
        <v>0</v>
      </c>
      <c r="N330" s="70">
        <f t="shared" si="30"/>
        <v>5.9085487077534748E-4</v>
      </c>
      <c r="O330" s="70">
        <f t="shared" si="26"/>
        <v>-6.4083499005964219E-3</v>
      </c>
      <c r="P330" s="70">
        <f t="shared" si="27"/>
        <v>-5.1015904572564615E-3</v>
      </c>
      <c r="AI330" s="15">
        <v>41757</v>
      </c>
      <c r="AJ330" s="2">
        <v>82.57</v>
      </c>
      <c r="AK330" s="2">
        <v>39.28</v>
      </c>
      <c r="AL330" s="2">
        <v>185.32</v>
      </c>
      <c r="AM330" s="2">
        <v>89.530816859796133</v>
      </c>
      <c r="AN330" s="2">
        <v>49.797144436026699</v>
      </c>
    </row>
    <row r="331" spans="2:40" x14ac:dyDescent="0.35">
      <c r="B331" s="15">
        <v>41754</v>
      </c>
      <c r="C331" s="49" t="str">
        <f>$S$4</f>
        <v>AAPL</v>
      </c>
      <c r="D331" s="53">
        <f>CHOOSE($S$3,AJ331,AK331,AL331,AM331,AN331)</f>
        <v>79.489999999999995</v>
      </c>
      <c r="E331" s="55">
        <f t="shared" si="25"/>
        <v>7.3232650520776181E-3</v>
      </c>
      <c r="F331" s="55">
        <f t="shared" si="28"/>
        <v>7.3232650520776181E-3</v>
      </c>
      <c r="G331" s="70">
        <f t="shared" si="29"/>
        <v>6.0082752091945406E-3</v>
      </c>
      <c r="H331" s="53"/>
      <c r="I331" s="15">
        <v>41754</v>
      </c>
      <c r="J331" s="55">
        <v>-1.0500000000000001E-2</v>
      </c>
      <c r="K331" s="55">
        <v>-9.5999999999999992E-3</v>
      </c>
      <c r="L331" s="55">
        <v>6.0999999999999995E-3</v>
      </c>
      <c r="M331" s="55">
        <v>0</v>
      </c>
      <c r="N331" s="70">
        <f t="shared" si="30"/>
        <v>-1.1009145129224653E-2</v>
      </c>
      <c r="O331" s="70">
        <f t="shared" si="26"/>
        <v>-9.5083499005964214E-3</v>
      </c>
      <c r="P331" s="70">
        <f t="shared" si="27"/>
        <v>6.3984095427435383E-3</v>
      </c>
      <c r="AI331" s="15">
        <v>41754</v>
      </c>
      <c r="AJ331" s="2">
        <v>79.489999999999995</v>
      </c>
      <c r="AK331" s="2">
        <v>38.36</v>
      </c>
      <c r="AL331" s="2">
        <v>181.95</v>
      </c>
      <c r="AM331" s="2">
        <v>87.046943490908575</v>
      </c>
      <c r="AN331" s="2">
        <v>48.761205723624279</v>
      </c>
    </row>
    <row r="332" spans="2:40" x14ac:dyDescent="0.35">
      <c r="B332" s="15">
        <v>41753</v>
      </c>
      <c r="C332" s="49" t="str">
        <f>$S$4</f>
        <v>AAPL</v>
      </c>
      <c r="D332" s="53">
        <f>CHOOSE($S$3,AJ332,AK332,AL332,AM332,AN332)</f>
        <v>78.91</v>
      </c>
      <c r="E332" s="55">
        <f t="shared" ref="E332:E395" si="31">LN(D332/D333)</f>
        <v>7.8807885536801764E-2</v>
      </c>
      <c r="F332" s="55">
        <f t="shared" si="28"/>
        <v>7.8807885536801764E-2</v>
      </c>
      <c r="G332" s="70">
        <f t="shared" si="29"/>
        <v>7.7492895693918692E-2</v>
      </c>
      <c r="H332" s="53"/>
      <c r="I332" s="15">
        <v>41753</v>
      </c>
      <c r="J332" s="55">
        <v>8.0000000000000004E-4</v>
      </c>
      <c r="K332" s="55">
        <v>-4.0999999999999995E-3</v>
      </c>
      <c r="L332" s="55">
        <v>-1.7000000000000001E-3</v>
      </c>
      <c r="M332" s="55">
        <v>0</v>
      </c>
      <c r="N332" s="70">
        <f t="shared" si="30"/>
        <v>2.9085487077534745E-4</v>
      </c>
      <c r="O332" s="70">
        <f t="shared" ref="O332:O395" si="32">K332-K$10</f>
        <v>-4.0083499005964208E-3</v>
      </c>
      <c r="P332" s="70">
        <f t="shared" ref="P332:P395" si="33">L332-L$10</f>
        <v>-1.4015904572564613E-3</v>
      </c>
      <c r="AI332" s="15">
        <v>41753</v>
      </c>
      <c r="AJ332" s="2">
        <v>78.91</v>
      </c>
      <c r="AK332" s="2">
        <v>38.31</v>
      </c>
      <c r="AL332" s="2">
        <v>182.52</v>
      </c>
      <c r="AM332" s="2">
        <v>86.865721046242825</v>
      </c>
      <c r="AN332" s="2">
        <v>48.805804860245367</v>
      </c>
    </row>
    <row r="333" spans="2:40" x14ac:dyDescent="0.35">
      <c r="B333" s="15">
        <v>41752</v>
      </c>
      <c r="C333" s="49" t="str">
        <f>$S$4</f>
        <v>AAPL</v>
      </c>
      <c r="D333" s="53">
        <f>CHOOSE($S$3,AJ333,AK333,AL333,AM333,AN333)</f>
        <v>72.930000000000007</v>
      </c>
      <c r="E333" s="55">
        <f t="shared" si="31"/>
        <v>-1.321275095801442E-2</v>
      </c>
      <c r="F333" s="55">
        <f t="shared" ref="F333:F396" si="34">E333-M333</f>
        <v>-1.321275095801442E-2</v>
      </c>
      <c r="G333" s="70">
        <f t="shared" ref="G333:G396" si="35">F333-$F$10</f>
        <v>-1.4527740800897497E-2</v>
      </c>
      <c r="H333" s="53"/>
      <c r="I333" s="15">
        <v>41752</v>
      </c>
      <c r="J333" s="55">
        <v>-3.0999999999999999E-3</v>
      </c>
      <c r="K333" s="55">
        <v>-6.4000000000000003E-3</v>
      </c>
      <c r="L333" s="55">
        <v>8.8999999999999999E-3</v>
      </c>
      <c r="M333" s="55">
        <v>0</v>
      </c>
      <c r="N333" s="70">
        <f t="shared" ref="N333:N396" si="36">J333-J$10</f>
        <v>-3.6091451292246525E-3</v>
      </c>
      <c r="O333" s="70">
        <f t="shared" si="32"/>
        <v>-6.3083499005964216E-3</v>
      </c>
      <c r="P333" s="70">
        <f t="shared" si="33"/>
        <v>9.1984095427435388E-3</v>
      </c>
      <c r="AI333" s="15">
        <v>41752</v>
      </c>
      <c r="AJ333" s="2">
        <v>72.930000000000007</v>
      </c>
      <c r="AK333" s="2">
        <v>38.15</v>
      </c>
      <c r="AL333" s="2">
        <v>183.97</v>
      </c>
      <c r="AM333" s="2">
        <v>83.919313871945121</v>
      </c>
      <c r="AN333" s="2">
        <v>48.897752059317227</v>
      </c>
    </row>
    <row r="334" spans="2:40" x14ac:dyDescent="0.35">
      <c r="B334" s="15">
        <v>41751</v>
      </c>
      <c r="C334" s="49" t="str">
        <f>$S$4</f>
        <v>AAPL</v>
      </c>
      <c r="D334" s="53">
        <f>CHOOSE($S$3,AJ334,AK334,AL334,AM334,AN334)</f>
        <v>73.900000000000006</v>
      </c>
      <c r="E334" s="55">
        <f t="shared" si="31"/>
        <v>1.0831303523038186E-3</v>
      </c>
      <c r="F334" s="55">
        <f t="shared" si="34"/>
        <v>1.0831303523038186E-3</v>
      </c>
      <c r="G334" s="70">
        <f t="shared" si="35"/>
        <v>-2.3185949057925848E-4</v>
      </c>
      <c r="H334" s="53"/>
      <c r="I334" s="15">
        <v>41751</v>
      </c>
      <c r="J334" s="55">
        <v>5.7999999999999996E-3</v>
      </c>
      <c r="K334" s="55">
        <v>7.3000000000000001E-3</v>
      </c>
      <c r="L334" s="55">
        <v>-3.7000000000000002E-3</v>
      </c>
      <c r="M334" s="55">
        <v>0</v>
      </c>
      <c r="N334" s="70">
        <f t="shared" si="36"/>
        <v>5.290854870775347E-3</v>
      </c>
      <c r="O334" s="70">
        <f t="shared" si="32"/>
        <v>7.3916500994035787E-3</v>
      </c>
      <c r="P334" s="70">
        <f t="shared" si="33"/>
        <v>-3.4015904572564613E-3</v>
      </c>
      <c r="AI334" s="15">
        <v>41751</v>
      </c>
      <c r="AJ334" s="2">
        <v>73.900000000000006</v>
      </c>
      <c r="AK334" s="2">
        <v>38.43</v>
      </c>
      <c r="AL334" s="2">
        <v>184.37</v>
      </c>
      <c r="AM334" s="2">
        <v>84.568626664997993</v>
      </c>
      <c r="AN334" s="2">
        <v>49.130351748907337</v>
      </c>
    </row>
    <row r="335" spans="2:40" x14ac:dyDescent="0.35">
      <c r="B335" s="15">
        <v>41750</v>
      </c>
      <c r="C335" s="49" t="str">
        <f>$S$4</f>
        <v>AAPL</v>
      </c>
      <c r="D335" s="53">
        <f>CHOOSE($S$3,AJ335,AK335,AL335,AM335,AN335)</f>
        <v>73.819999999999993</v>
      </c>
      <c r="E335" s="55">
        <f t="shared" si="31"/>
        <v>1.1718351835776455E-2</v>
      </c>
      <c r="F335" s="55">
        <f t="shared" si="34"/>
        <v>1.1718351835776455E-2</v>
      </c>
      <c r="G335" s="70">
        <f t="shared" si="35"/>
        <v>1.0403361992893378E-2</v>
      </c>
      <c r="H335" s="53"/>
      <c r="I335" s="15">
        <v>41750</v>
      </c>
      <c r="J335" s="55">
        <v>3.5999999999999999E-3</v>
      </c>
      <c r="K335" s="55">
        <v>2E-3</v>
      </c>
      <c r="L335" s="55">
        <v>-4.3E-3</v>
      </c>
      <c r="M335" s="55">
        <v>0</v>
      </c>
      <c r="N335" s="70">
        <f t="shared" si="36"/>
        <v>3.0908548707753473E-3</v>
      </c>
      <c r="O335" s="70">
        <f t="shared" si="32"/>
        <v>2.0916500994035783E-3</v>
      </c>
      <c r="P335" s="70">
        <f t="shared" si="33"/>
        <v>-4.0015904572564612E-3</v>
      </c>
      <c r="AI335" s="15">
        <v>41750</v>
      </c>
      <c r="AJ335" s="2">
        <v>73.819999999999993</v>
      </c>
      <c r="AK335" s="2">
        <v>38.39</v>
      </c>
      <c r="AL335" s="2">
        <v>184.49</v>
      </c>
      <c r="AM335" s="2">
        <v>84.550373420393854</v>
      </c>
      <c r="AN335" s="2">
        <v>49.120771615477132</v>
      </c>
    </row>
    <row r="336" spans="2:40" x14ac:dyDescent="0.35">
      <c r="B336" s="15">
        <v>41746</v>
      </c>
      <c r="C336" s="49" t="str">
        <f>$S$4</f>
        <v>AAPL</v>
      </c>
      <c r="D336" s="53">
        <f>CHOOSE($S$3,AJ336,AK336,AL336,AM336,AN336)</f>
        <v>72.959999999999994</v>
      </c>
      <c r="E336" s="55">
        <f t="shared" si="31"/>
        <v>1.1441299250494736E-2</v>
      </c>
      <c r="F336" s="55">
        <f t="shared" si="34"/>
        <v>1.1441299250494736E-2</v>
      </c>
      <c r="G336" s="70">
        <f t="shared" si="35"/>
        <v>1.012630940761166E-2</v>
      </c>
      <c r="H336" s="53"/>
      <c r="I336" s="15">
        <v>41746</v>
      </c>
      <c r="J336" s="55">
        <v>2.3E-3</v>
      </c>
      <c r="K336" s="55">
        <v>3.3E-3</v>
      </c>
      <c r="L336" s="55">
        <v>2.5000000000000001E-3</v>
      </c>
      <c r="M336" s="55">
        <v>0</v>
      </c>
      <c r="N336" s="70">
        <f t="shared" si="36"/>
        <v>1.7908548707753474E-3</v>
      </c>
      <c r="O336" s="70">
        <f t="shared" si="32"/>
        <v>3.3916500994035782E-3</v>
      </c>
      <c r="P336" s="70">
        <f t="shared" si="33"/>
        <v>2.7984095427435389E-3</v>
      </c>
      <c r="AI336" s="15">
        <v>41746</v>
      </c>
      <c r="AJ336" s="2">
        <v>72.959999999999994</v>
      </c>
      <c r="AK336" s="2">
        <v>38.450000000000003</v>
      </c>
      <c r="AL336" s="2">
        <v>182.32</v>
      </c>
      <c r="AM336" s="2">
        <v>83.560621909007736</v>
      </c>
      <c r="AN336" s="2">
        <v>48.87027414661938</v>
      </c>
    </row>
    <row r="337" spans="2:40" x14ac:dyDescent="0.35">
      <c r="B337" s="15">
        <v>41745</v>
      </c>
      <c r="C337" s="49" t="str">
        <f>$S$4</f>
        <v>AAPL</v>
      </c>
      <c r="D337" s="53">
        <f>CHOOSE($S$3,AJ337,AK337,AL337,AM337,AN337)</f>
        <v>72.13</v>
      </c>
      <c r="E337" s="55">
        <f t="shared" si="31"/>
        <v>1.9428260343697095E-3</v>
      </c>
      <c r="F337" s="55">
        <f t="shared" si="34"/>
        <v>1.9428260343697095E-3</v>
      </c>
      <c r="G337" s="70">
        <f t="shared" si="35"/>
        <v>6.2783619148663243E-4</v>
      </c>
      <c r="H337" s="53"/>
      <c r="I337" s="15">
        <v>41745</v>
      </c>
      <c r="J337" s="55">
        <v>1.1299999999999999E-2</v>
      </c>
      <c r="K337" s="55">
        <v>4.0000000000000002E-4</v>
      </c>
      <c r="L337" s="55">
        <v>-4.4000000000000003E-3</v>
      </c>
      <c r="M337" s="55">
        <v>0</v>
      </c>
      <c r="N337" s="70">
        <f t="shared" si="36"/>
        <v>1.0790854870775347E-2</v>
      </c>
      <c r="O337" s="70">
        <f t="shared" si="32"/>
        <v>4.916500994035783E-4</v>
      </c>
      <c r="P337" s="70">
        <f t="shared" si="33"/>
        <v>-4.1015904572564614E-3</v>
      </c>
      <c r="AI337" s="15">
        <v>41745</v>
      </c>
      <c r="AJ337" s="2">
        <v>72.13</v>
      </c>
      <c r="AK337" s="2">
        <v>38.83</v>
      </c>
      <c r="AL337" s="2">
        <v>188.45</v>
      </c>
      <c r="AM337" s="2">
        <v>84.490071144793276</v>
      </c>
      <c r="AN337" s="2">
        <v>49.933328880566016</v>
      </c>
    </row>
    <row r="338" spans="2:40" x14ac:dyDescent="0.35">
      <c r="B338" s="15">
        <v>41744</v>
      </c>
      <c r="C338" s="49" t="str">
        <f>$S$4</f>
        <v>AAPL</v>
      </c>
      <c r="D338" s="53">
        <f>CHOOSE($S$3,AJ338,AK338,AL338,AM338,AN338)</f>
        <v>71.989999999999995</v>
      </c>
      <c r="E338" s="55">
        <f t="shared" si="31"/>
        <v>-7.1972629022899843E-3</v>
      </c>
      <c r="F338" s="55">
        <f t="shared" si="34"/>
        <v>-7.1972629022899843E-3</v>
      </c>
      <c r="G338" s="70">
        <f t="shared" si="35"/>
        <v>-8.5122527451730618E-3</v>
      </c>
      <c r="H338" s="53"/>
      <c r="I338" s="15">
        <v>41744</v>
      </c>
      <c r="J338" s="55">
        <v>5.8999999999999999E-3</v>
      </c>
      <c r="K338" s="55">
        <v>-3.8E-3</v>
      </c>
      <c r="L338" s="55">
        <v>1.7000000000000001E-3</v>
      </c>
      <c r="M338" s="55">
        <v>0</v>
      </c>
      <c r="N338" s="70">
        <f t="shared" si="36"/>
        <v>5.3908548707753473E-3</v>
      </c>
      <c r="O338" s="70">
        <f t="shared" si="32"/>
        <v>-3.7083499005964218E-3</v>
      </c>
      <c r="P338" s="70">
        <f t="shared" si="33"/>
        <v>1.9984095427435389E-3</v>
      </c>
      <c r="AI338" s="15">
        <v>41744</v>
      </c>
      <c r="AJ338" s="2">
        <v>71.989999999999995</v>
      </c>
      <c r="AK338" s="2">
        <v>38.200000000000003</v>
      </c>
      <c r="AL338" s="2">
        <v>189.05</v>
      </c>
      <c r="AM338" s="2">
        <v>84.542578700558195</v>
      </c>
      <c r="AN338" s="2">
        <v>49.607746093797502</v>
      </c>
    </row>
    <row r="339" spans="2:40" x14ac:dyDescent="0.35">
      <c r="B339" s="15">
        <v>41743</v>
      </c>
      <c r="C339" s="49" t="str">
        <f>$S$4</f>
        <v>AAPL</v>
      </c>
      <c r="D339" s="53">
        <f>CHOOSE($S$3,AJ339,AK339,AL339,AM339,AN339)</f>
        <v>72.510000000000005</v>
      </c>
      <c r="E339" s="55">
        <f t="shared" si="31"/>
        <v>4.0074675341896593E-3</v>
      </c>
      <c r="F339" s="55">
        <f t="shared" si="34"/>
        <v>4.0074675341896593E-3</v>
      </c>
      <c r="G339" s="70">
        <f t="shared" si="35"/>
        <v>2.6924776913065823E-3</v>
      </c>
      <c r="H339" s="53"/>
      <c r="I339" s="15">
        <v>41743</v>
      </c>
      <c r="J339" s="55">
        <v>6.9999999999999993E-3</v>
      </c>
      <c r="K339" s="55">
        <v>-5.0000000000000001E-3</v>
      </c>
      <c r="L339" s="55">
        <v>2.0999999999999999E-3</v>
      </c>
      <c r="M339" s="55">
        <v>0</v>
      </c>
      <c r="N339" s="70">
        <f t="shared" si="36"/>
        <v>6.4908548707753467E-3</v>
      </c>
      <c r="O339" s="70">
        <f t="shared" si="32"/>
        <v>-4.9083499005964214E-3</v>
      </c>
      <c r="P339" s="70">
        <f t="shared" si="33"/>
        <v>2.3984095427435387E-3</v>
      </c>
      <c r="AI339" s="15">
        <v>41743</v>
      </c>
      <c r="AJ339" s="2">
        <v>72.510000000000005</v>
      </c>
      <c r="AK339" s="2">
        <v>37.659999999999997</v>
      </c>
      <c r="AL339" s="2">
        <v>189.76</v>
      </c>
      <c r="AM339" s="2">
        <v>85.006668661942044</v>
      </c>
      <c r="AN339" s="2">
        <v>49.350269354498806</v>
      </c>
    </row>
    <row r="340" spans="2:40" x14ac:dyDescent="0.35">
      <c r="B340" s="15">
        <v>41740</v>
      </c>
      <c r="C340" s="49" t="str">
        <f>$S$4</f>
        <v>AAPL</v>
      </c>
      <c r="D340" s="53">
        <f>CHOOSE($S$3,AJ340,AK340,AL340,AM340,AN340)</f>
        <v>72.22</v>
      </c>
      <c r="E340" s="55">
        <f t="shared" si="31"/>
        <v>-7.4493378006098782E-3</v>
      </c>
      <c r="F340" s="55">
        <f t="shared" si="34"/>
        <v>-7.4493378006098782E-3</v>
      </c>
      <c r="G340" s="70">
        <f t="shared" si="35"/>
        <v>-8.7643276434929557E-3</v>
      </c>
      <c r="H340" s="53"/>
      <c r="I340" s="15">
        <v>41740</v>
      </c>
      <c r="J340" s="55">
        <v>-1.0700000000000001E-2</v>
      </c>
      <c r="K340" s="55">
        <v>-4.1999999999999997E-3</v>
      </c>
      <c r="L340" s="55">
        <v>2.8999999999999998E-3</v>
      </c>
      <c r="M340" s="55">
        <v>0</v>
      </c>
      <c r="N340" s="70">
        <f t="shared" si="36"/>
        <v>-1.1209145129224654E-2</v>
      </c>
      <c r="O340" s="70">
        <f t="shared" si="32"/>
        <v>-4.1083499005964211E-3</v>
      </c>
      <c r="P340" s="70">
        <f t="shared" si="33"/>
        <v>3.1984095427435386E-3</v>
      </c>
      <c r="AI340" s="15">
        <v>41740</v>
      </c>
      <c r="AJ340" s="2">
        <v>72.22</v>
      </c>
      <c r="AK340" s="2">
        <v>37.68</v>
      </c>
      <c r="AL340" s="2">
        <v>187.29</v>
      </c>
      <c r="AM340" s="2">
        <v>84.283436592971469</v>
      </c>
      <c r="AN340" s="2">
        <v>49.042191060282967</v>
      </c>
    </row>
    <row r="341" spans="2:40" x14ac:dyDescent="0.35">
      <c r="B341" s="15">
        <v>41739</v>
      </c>
      <c r="C341" s="49" t="str">
        <f>$S$4</f>
        <v>AAPL</v>
      </c>
      <c r="D341" s="53">
        <f>CHOOSE($S$3,AJ341,AK341,AL341,AM341,AN341)</f>
        <v>72.760000000000005</v>
      </c>
      <c r="E341" s="55">
        <f t="shared" si="31"/>
        <v>-1.2972121551275825E-2</v>
      </c>
      <c r="F341" s="55">
        <f t="shared" si="34"/>
        <v>-1.2972121551275825E-2</v>
      </c>
      <c r="G341" s="70">
        <f t="shared" si="35"/>
        <v>-1.4287111394158902E-2</v>
      </c>
      <c r="H341" s="53"/>
      <c r="I341" s="15">
        <v>41739</v>
      </c>
      <c r="J341" s="55">
        <v>-2.2400000000000003E-2</v>
      </c>
      <c r="K341" s="55">
        <v>-7.0999999999999995E-3</v>
      </c>
      <c r="L341" s="55">
        <v>8.6E-3</v>
      </c>
      <c r="M341" s="55">
        <v>0</v>
      </c>
      <c r="N341" s="70">
        <f t="shared" si="36"/>
        <v>-2.2909145129224658E-2</v>
      </c>
      <c r="O341" s="70">
        <f t="shared" si="32"/>
        <v>-7.0083499005964209E-3</v>
      </c>
      <c r="P341" s="70">
        <f t="shared" si="33"/>
        <v>8.8984095427435388E-3</v>
      </c>
      <c r="AI341" s="15">
        <v>41739</v>
      </c>
      <c r="AJ341" s="2">
        <v>72.760000000000005</v>
      </c>
      <c r="AK341" s="2">
        <v>37.83</v>
      </c>
      <c r="AL341" s="2">
        <v>187.76</v>
      </c>
      <c r="AM341" s="2">
        <v>84.704290359047434</v>
      </c>
      <c r="AN341" s="2">
        <v>49.201342018581549</v>
      </c>
    </row>
    <row r="342" spans="2:40" x14ac:dyDescent="0.35">
      <c r="B342" s="15">
        <v>41738</v>
      </c>
      <c r="C342" s="49" t="str">
        <f>$S$4</f>
        <v>AAPL</v>
      </c>
      <c r="D342" s="53">
        <f>CHOOSE($S$3,AJ342,AK342,AL342,AM342,AN342)</f>
        <v>73.709999999999994</v>
      </c>
      <c r="E342" s="55">
        <f t="shared" si="31"/>
        <v>1.3109569149595454E-2</v>
      </c>
      <c r="F342" s="55">
        <f t="shared" si="34"/>
        <v>1.3109569149595454E-2</v>
      </c>
      <c r="G342" s="70">
        <f t="shared" si="35"/>
        <v>1.1794579306712377E-2</v>
      </c>
      <c r="H342" s="53"/>
      <c r="I342" s="15">
        <v>41738</v>
      </c>
      <c r="J342" s="55">
        <v>1.2E-2</v>
      </c>
      <c r="K342" s="55">
        <v>3.4000000000000002E-3</v>
      </c>
      <c r="L342" s="55">
        <v>-9.300000000000001E-3</v>
      </c>
      <c r="M342" s="55">
        <v>0</v>
      </c>
      <c r="N342" s="70">
        <f t="shared" si="36"/>
        <v>1.1490854870775348E-2</v>
      </c>
      <c r="O342" s="70">
        <f t="shared" si="32"/>
        <v>3.4916500994035785E-3</v>
      </c>
      <c r="P342" s="70">
        <f t="shared" si="33"/>
        <v>-9.0015904572564621E-3</v>
      </c>
      <c r="AI342" s="15">
        <v>41738</v>
      </c>
      <c r="AJ342" s="2">
        <v>73.709999999999994</v>
      </c>
      <c r="AK342" s="2">
        <v>38.9</v>
      </c>
      <c r="AL342" s="2">
        <v>188.68</v>
      </c>
      <c r="AM342" s="2">
        <v>85.464786514041123</v>
      </c>
      <c r="AN342" s="2">
        <v>50.017698127635775</v>
      </c>
    </row>
    <row r="343" spans="2:40" x14ac:dyDescent="0.35">
      <c r="B343" s="15">
        <v>41737</v>
      </c>
      <c r="C343" s="49" t="str">
        <f>$S$4</f>
        <v>AAPL</v>
      </c>
      <c r="D343" s="53">
        <f>CHOOSE($S$3,AJ343,AK343,AL343,AM343,AN343)</f>
        <v>72.75</v>
      </c>
      <c r="E343" s="55">
        <f t="shared" si="31"/>
        <v>0</v>
      </c>
      <c r="F343" s="55">
        <f t="shared" si="34"/>
        <v>0</v>
      </c>
      <c r="G343" s="70">
        <f t="shared" si="35"/>
        <v>-1.3149898428830771E-3</v>
      </c>
      <c r="H343" s="53"/>
      <c r="I343" s="15">
        <v>41737</v>
      </c>
      <c r="J343" s="55">
        <v>5.0000000000000001E-3</v>
      </c>
      <c r="K343" s="55">
        <v>3.0999999999999999E-3</v>
      </c>
      <c r="L343" s="55">
        <v>-2.2000000000000001E-3</v>
      </c>
      <c r="M343" s="55">
        <v>0</v>
      </c>
      <c r="N343" s="70">
        <f t="shared" si="36"/>
        <v>4.4908548707753475E-3</v>
      </c>
      <c r="O343" s="70">
        <f t="shared" si="32"/>
        <v>3.1916500994035781E-3</v>
      </c>
      <c r="P343" s="70">
        <f t="shared" si="33"/>
        <v>-1.9015904572564613E-3</v>
      </c>
      <c r="AI343" s="15">
        <v>41737</v>
      </c>
      <c r="AJ343" s="2">
        <v>72.75</v>
      </c>
      <c r="AK343" s="2">
        <v>38.270000000000003</v>
      </c>
      <c r="AL343" s="2">
        <v>185.47</v>
      </c>
      <c r="AM343" s="2">
        <v>84.181235969245947</v>
      </c>
      <c r="AN343" s="2">
        <v>49.187196647755343</v>
      </c>
    </row>
    <row r="344" spans="2:40" x14ac:dyDescent="0.35">
      <c r="B344" s="15">
        <v>41736</v>
      </c>
      <c r="C344" s="49" t="str">
        <f>$S$4</f>
        <v>AAPL</v>
      </c>
      <c r="D344" s="53">
        <f>CHOOSE($S$3,AJ344,AK344,AL344,AM344,AN344)</f>
        <v>72.75</v>
      </c>
      <c r="E344" s="55">
        <f t="shared" si="31"/>
        <v>-1.5819230745193404E-2</v>
      </c>
      <c r="F344" s="55">
        <f t="shared" si="34"/>
        <v>-1.5819230745193404E-2</v>
      </c>
      <c r="G344" s="70">
        <f t="shared" si="35"/>
        <v>-1.7134220588076482E-2</v>
      </c>
      <c r="H344" s="53"/>
      <c r="I344" s="15">
        <v>41736</v>
      </c>
      <c r="J344" s="55">
        <v>-1.26E-2</v>
      </c>
      <c r="K344" s="55">
        <v>-3.0000000000000001E-3</v>
      </c>
      <c r="L344" s="55">
        <v>-2.0000000000000001E-4</v>
      </c>
      <c r="M344" s="55">
        <v>0</v>
      </c>
      <c r="N344" s="70">
        <f t="shared" si="36"/>
        <v>-1.3109145129224653E-2</v>
      </c>
      <c r="O344" s="70">
        <f t="shared" si="32"/>
        <v>-2.9083499005964218E-3</v>
      </c>
      <c r="P344" s="70">
        <f t="shared" si="33"/>
        <v>9.8409542743538818E-5</v>
      </c>
      <c r="AI344" s="15">
        <v>41736</v>
      </c>
      <c r="AJ344" s="2">
        <v>72.75</v>
      </c>
      <c r="AK344" s="2">
        <v>38.25</v>
      </c>
      <c r="AL344" s="2">
        <v>186.65</v>
      </c>
      <c r="AM344" s="2">
        <v>84.449025526704602</v>
      </c>
      <c r="AN344" s="2">
        <v>49.330813728325062</v>
      </c>
    </row>
    <row r="345" spans="2:40" x14ac:dyDescent="0.35">
      <c r="B345" s="15">
        <v>41733</v>
      </c>
      <c r="C345" s="49" t="str">
        <f>$S$4</f>
        <v>AAPL</v>
      </c>
      <c r="D345" s="53">
        <f>CHOOSE($S$3,AJ345,AK345,AL345,AM345,AN345)</f>
        <v>73.91</v>
      </c>
      <c r="E345" s="55">
        <f t="shared" si="31"/>
        <v>-1.3038695372541232E-2</v>
      </c>
      <c r="F345" s="55">
        <f t="shared" si="34"/>
        <v>-1.3038695372541232E-2</v>
      </c>
      <c r="G345" s="70">
        <f t="shared" si="35"/>
        <v>-1.4353685215424308E-2</v>
      </c>
      <c r="H345" s="53"/>
      <c r="I345" s="15">
        <v>41733</v>
      </c>
      <c r="J345" s="55">
        <v>-1.47E-2</v>
      </c>
      <c r="K345" s="55">
        <v>-1.15E-2</v>
      </c>
      <c r="L345" s="55">
        <v>7.4000000000000003E-3</v>
      </c>
      <c r="M345" s="55">
        <v>0</v>
      </c>
      <c r="N345" s="70">
        <f t="shared" si="36"/>
        <v>-1.5209145129224652E-2</v>
      </c>
      <c r="O345" s="70">
        <f t="shared" si="32"/>
        <v>-1.1408349900596422E-2</v>
      </c>
      <c r="P345" s="70">
        <f t="shared" si="33"/>
        <v>7.6984095427435392E-3</v>
      </c>
      <c r="AI345" s="15">
        <v>41733</v>
      </c>
      <c r="AJ345" s="2">
        <v>73.91</v>
      </c>
      <c r="AK345" s="2">
        <v>38.32</v>
      </c>
      <c r="AL345" s="2">
        <v>184.01</v>
      </c>
      <c r="AM345" s="2">
        <v>84.525067532304504</v>
      </c>
      <c r="AN345" s="2">
        <v>49.02708256020474</v>
      </c>
    </row>
    <row r="346" spans="2:40" x14ac:dyDescent="0.35">
      <c r="B346" s="15">
        <v>41732</v>
      </c>
      <c r="C346" s="49" t="str">
        <f>$S$4</f>
        <v>AAPL</v>
      </c>
      <c r="D346" s="53">
        <f>CHOOSE($S$3,AJ346,AK346,AL346,AM346,AN346)</f>
        <v>74.88</v>
      </c>
      <c r="E346" s="55">
        <f t="shared" si="31"/>
        <v>-7.0530600452190107E-3</v>
      </c>
      <c r="F346" s="55">
        <f t="shared" si="34"/>
        <v>-7.0530600452190107E-3</v>
      </c>
      <c r="G346" s="70">
        <f t="shared" si="35"/>
        <v>-8.3680498881020873E-3</v>
      </c>
      <c r="H346" s="53"/>
      <c r="I346" s="15">
        <v>41732</v>
      </c>
      <c r="J346" s="55">
        <v>-3.0999999999999999E-3</v>
      </c>
      <c r="K346" s="55">
        <v>-8.8999999999999999E-3</v>
      </c>
      <c r="L346" s="55">
        <v>7.8000000000000005E-3</v>
      </c>
      <c r="M346" s="55">
        <v>0</v>
      </c>
      <c r="N346" s="70">
        <f t="shared" si="36"/>
        <v>-3.6091451292246525E-3</v>
      </c>
      <c r="O346" s="70">
        <f t="shared" si="32"/>
        <v>-8.8083499005964221E-3</v>
      </c>
      <c r="P346" s="70">
        <f t="shared" si="33"/>
        <v>8.0984095427435385E-3</v>
      </c>
      <c r="AI346" s="15">
        <v>41732</v>
      </c>
      <c r="AJ346" s="2">
        <v>74.88</v>
      </c>
      <c r="AK346" s="2">
        <v>39.409999999999997</v>
      </c>
      <c r="AL346" s="2">
        <v>184.89</v>
      </c>
      <c r="AM346" s="2">
        <v>85.28183815301918</v>
      </c>
      <c r="AN346" s="2">
        <v>49.841594613927022</v>
      </c>
    </row>
    <row r="347" spans="2:40" x14ac:dyDescent="0.35">
      <c r="B347" s="15">
        <v>41731</v>
      </c>
      <c r="C347" s="49" t="str">
        <f>$S$4</f>
        <v>AAPL</v>
      </c>
      <c r="D347" s="53">
        <f>CHOOSE($S$3,AJ347,AK347,AL347,AM347,AN347)</f>
        <v>75.41</v>
      </c>
      <c r="E347" s="55">
        <f t="shared" si="31"/>
        <v>1.7253969374313137E-3</v>
      </c>
      <c r="F347" s="55">
        <f t="shared" si="34"/>
        <v>1.7253969374313137E-3</v>
      </c>
      <c r="G347" s="70">
        <f t="shared" si="35"/>
        <v>4.1040709454823665E-4</v>
      </c>
      <c r="H347" s="53"/>
      <c r="I347" s="15">
        <v>41731</v>
      </c>
      <c r="J347" s="55">
        <v>2.8999999999999998E-3</v>
      </c>
      <c r="K347" s="55">
        <v>4.0000000000000002E-4</v>
      </c>
      <c r="L347" s="55">
        <v>1.1999999999999999E-3</v>
      </c>
      <c r="M347" s="55">
        <v>0</v>
      </c>
      <c r="N347" s="70">
        <f t="shared" si="36"/>
        <v>2.3908548707753472E-3</v>
      </c>
      <c r="O347" s="70">
        <f t="shared" si="32"/>
        <v>4.916500994035783E-4</v>
      </c>
      <c r="P347" s="70">
        <f t="shared" si="33"/>
        <v>1.4984095427435387E-3</v>
      </c>
      <c r="AI347" s="15">
        <v>41731</v>
      </c>
      <c r="AJ347" s="2">
        <v>75.41</v>
      </c>
      <c r="AK347" s="2">
        <v>39.74</v>
      </c>
      <c r="AL347" s="2">
        <v>185.72</v>
      </c>
      <c r="AM347" s="2">
        <v>85.775071939321833</v>
      </c>
      <c r="AN347" s="2">
        <v>50.162142480616751</v>
      </c>
    </row>
    <row r="348" spans="2:40" x14ac:dyDescent="0.35">
      <c r="B348" s="15">
        <v>41730</v>
      </c>
      <c r="C348" s="49" t="str">
        <f>$S$4</f>
        <v>AAPL</v>
      </c>
      <c r="D348" s="53">
        <f>CHOOSE($S$3,AJ348,AK348,AL348,AM348,AN348)</f>
        <v>75.28</v>
      </c>
      <c r="E348" s="55">
        <f t="shared" si="31"/>
        <v>9.07398806740921E-3</v>
      </c>
      <c r="F348" s="55">
        <f t="shared" si="34"/>
        <v>9.07398806740921E-3</v>
      </c>
      <c r="G348" s="70">
        <f t="shared" si="35"/>
        <v>7.7589982245261334E-3</v>
      </c>
      <c r="H348" s="53"/>
      <c r="I348" s="15">
        <v>41730</v>
      </c>
      <c r="J348" s="55">
        <v>8.6999999999999994E-3</v>
      </c>
      <c r="K348" s="55">
        <v>7.4999999999999997E-3</v>
      </c>
      <c r="L348" s="55">
        <v>-4.0999999999999995E-3</v>
      </c>
      <c r="M348" s="55">
        <v>0</v>
      </c>
      <c r="N348" s="70">
        <f t="shared" si="36"/>
        <v>8.1908548707753468E-3</v>
      </c>
      <c r="O348" s="70">
        <f t="shared" si="32"/>
        <v>7.5916500994035784E-3</v>
      </c>
      <c r="P348" s="70">
        <f t="shared" si="33"/>
        <v>-3.8015904572564607E-3</v>
      </c>
      <c r="AI348" s="15">
        <v>41730</v>
      </c>
      <c r="AJ348" s="2">
        <v>75.28</v>
      </c>
      <c r="AK348" s="2">
        <v>39.81</v>
      </c>
      <c r="AL348" s="2">
        <v>186.63</v>
      </c>
      <c r="AM348" s="2">
        <v>85.911280177717146</v>
      </c>
      <c r="AN348" s="2">
        <v>50.329214986777068</v>
      </c>
    </row>
    <row r="349" spans="2:40" x14ac:dyDescent="0.35">
      <c r="B349" s="15">
        <v>41729</v>
      </c>
      <c r="C349" s="49" t="str">
        <f>$S$4</f>
        <v>AAPL</v>
      </c>
      <c r="D349" s="53">
        <f>CHOOSE($S$3,AJ349,AK349,AL349,AM349,AN349)</f>
        <v>74.599999999999994</v>
      </c>
      <c r="E349" s="55">
        <f t="shared" si="31"/>
        <v>-2.6806058329675414E-4</v>
      </c>
      <c r="F349" s="55">
        <f t="shared" si="34"/>
        <v>-2.6806058329675414E-4</v>
      </c>
      <c r="G349" s="70">
        <f t="shared" si="35"/>
        <v>-1.5830504261798311E-3</v>
      </c>
      <c r="H349" s="53"/>
      <c r="I349" s="15">
        <v>41729</v>
      </c>
      <c r="J349" s="55">
        <v>9.7000000000000003E-3</v>
      </c>
      <c r="K349" s="55">
        <v>9.8999999999999991E-3</v>
      </c>
      <c r="L349" s="55">
        <v>-1.6000000000000001E-3</v>
      </c>
      <c r="M349" s="55">
        <v>0</v>
      </c>
      <c r="N349" s="70">
        <f t="shared" si="36"/>
        <v>9.1908548707753477E-3</v>
      </c>
      <c r="O349" s="70">
        <f t="shared" si="32"/>
        <v>9.9916500994035769E-3</v>
      </c>
      <c r="P349" s="70">
        <f t="shared" si="33"/>
        <v>-1.3015904572564612E-3</v>
      </c>
      <c r="AI349" s="15">
        <v>41729</v>
      </c>
      <c r="AJ349" s="2">
        <v>74.599999999999994</v>
      </c>
      <c r="AK349" s="2">
        <v>39.4</v>
      </c>
      <c r="AL349" s="2">
        <v>184.7</v>
      </c>
      <c r="AM349" s="2">
        <v>85.079046407182744</v>
      </c>
      <c r="AN349" s="2">
        <v>49.809811526270764</v>
      </c>
    </row>
    <row r="350" spans="2:40" x14ac:dyDescent="0.35">
      <c r="B350" s="15">
        <v>41726</v>
      </c>
      <c r="C350" s="49" t="str">
        <f>$S$4</f>
        <v>AAPL</v>
      </c>
      <c r="D350" s="53">
        <f>CHOOSE($S$3,AJ350,AK350,AL350,AM350,AN350)</f>
        <v>74.62</v>
      </c>
      <c r="E350" s="55">
        <f t="shared" si="31"/>
        <v>-1.0715243457597825E-3</v>
      </c>
      <c r="F350" s="55">
        <f t="shared" si="34"/>
        <v>-1.0715243457597825E-3</v>
      </c>
      <c r="G350" s="70">
        <f t="shared" si="35"/>
        <v>-2.3865141886428593E-3</v>
      </c>
      <c r="H350" s="53"/>
      <c r="I350" s="15">
        <v>41726</v>
      </c>
      <c r="J350" s="55">
        <v>4.0999999999999995E-3</v>
      </c>
      <c r="K350" s="55">
        <v>-4.3E-3</v>
      </c>
      <c r="L350" s="55">
        <v>5.1999999999999998E-3</v>
      </c>
      <c r="M350" s="55">
        <v>0</v>
      </c>
      <c r="N350" s="70">
        <f t="shared" si="36"/>
        <v>3.5908548707753469E-3</v>
      </c>
      <c r="O350" s="70">
        <f t="shared" si="32"/>
        <v>-4.2083499005964213E-3</v>
      </c>
      <c r="P350" s="70">
        <f t="shared" si="33"/>
        <v>5.4984095427435386E-3</v>
      </c>
      <c r="AI350" s="15">
        <v>41726</v>
      </c>
      <c r="AJ350" s="2">
        <v>74.62</v>
      </c>
      <c r="AK350" s="2">
        <v>38.729999999999997</v>
      </c>
      <c r="AL350" s="2">
        <v>182.74</v>
      </c>
      <c r="AM350" s="2">
        <v>84.639030068389587</v>
      </c>
      <c r="AN350" s="2">
        <v>49.122015755665309</v>
      </c>
    </row>
    <row r="351" spans="2:40" x14ac:dyDescent="0.35">
      <c r="B351" s="15">
        <v>41725</v>
      </c>
      <c r="C351" s="49" t="str">
        <f>$S$4</f>
        <v>AAPL</v>
      </c>
      <c r="D351" s="53">
        <f>CHOOSE($S$3,AJ351,AK351,AL351,AM351,AN351)</f>
        <v>74.7</v>
      </c>
      <c r="E351" s="55">
        <f t="shared" si="31"/>
        <v>-4.274652514969589E-3</v>
      </c>
      <c r="F351" s="55">
        <f t="shared" si="34"/>
        <v>-4.274652514969589E-3</v>
      </c>
      <c r="G351" s="70">
        <f t="shared" si="35"/>
        <v>-5.5896423578526665E-3</v>
      </c>
      <c r="H351" s="53"/>
      <c r="I351" s="15">
        <v>41725</v>
      </c>
      <c r="J351" s="55">
        <v>-1.9E-3</v>
      </c>
      <c r="K351" s="55">
        <v>-1.2999999999999999E-3</v>
      </c>
      <c r="L351" s="55">
        <v>-2.3999999999999998E-3</v>
      </c>
      <c r="M351" s="55">
        <v>0</v>
      </c>
      <c r="N351" s="70">
        <f t="shared" si="36"/>
        <v>-2.4091451292246524E-3</v>
      </c>
      <c r="O351" s="70">
        <f t="shared" si="32"/>
        <v>-1.2083499005964217E-3</v>
      </c>
      <c r="P351" s="70">
        <f t="shared" si="33"/>
        <v>-2.101590457256461E-3</v>
      </c>
      <c r="AI351" s="15">
        <v>41725</v>
      </c>
      <c r="AJ351" s="2">
        <v>74.7</v>
      </c>
      <c r="AK351" s="2">
        <v>37.83</v>
      </c>
      <c r="AL351" s="2">
        <v>182.15</v>
      </c>
      <c r="AM351" s="2">
        <v>84.54776667116775</v>
      </c>
      <c r="AN351" s="2">
        <v>48.471973535460897</v>
      </c>
    </row>
    <row r="352" spans="2:40" x14ac:dyDescent="0.35">
      <c r="B352" s="15">
        <v>41724</v>
      </c>
      <c r="C352" s="49" t="str">
        <f>$S$4</f>
        <v>AAPL</v>
      </c>
      <c r="D352" s="53">
        <f>CHOOSE($S$3,AJ352,AK352,AL352,AM352,AN352)</f>
        <v>75.02</v>
      </c>
      <c r="E352" s="55">
        <f t="shared" si="31"/>
        <v>-9.6836997357372945E-3</v>
      </c>
      <c r="F352" s="55">
        <f t="shared" si="34"/>
        <v>-9.6836997357372945E-3</v>
      </c>
      <c r="G352" s="70">
        <f t="shared" si="35"/>
        <v>-1.0998689578620371E-2</v>
      </c>
      <c r="H352" s="53"/>
      <c r="I352" s="15">
        <v>41724</v>
      </c>
      <c r="J352" s="55">
        <v>-8.8999999999999999E-3</v>
      </c>
      <c r="K352" s="55">
        <v>-1.1899999999999999E-2</v>
      </c>
      <c r="L352" s="55">
        <v>3.0000000000000001E-3</v>
      </c>
      <c r="M352" s="55">
        <v>0</v>
      </c>
      <c r="N352" s="70">
        <f t="shared" si="36"/>
        <v>-9.4091451292246525E-3</v>
      </c>
      <c r="O352" s="70">
        <f t="shared" si="32"/>
        <v>-1.1808349900596421E-2</v>
      </c>
      <c r="P352" s="70">
        <f t="shared" si="33"/>
        <v>3.2984095427435389E-3</v>
      </c>
      <c r="AI352" s="15">
        <v>41724</v>
      </c>
      <c r="AJ352" s="2">
        <v>75.02</v>
      </c>
      <c r="AK352" s="2">
        <v>38.24</v>
      </c>
      <c r="AL352" s="2">
        <v>184.82</v>
      </c>
      <c r="AM352" s="2">
        <v>85.348520707113039</v>
      </c>
      <c r="AN352" s="2">
        <v>49.08989929487803</v>
      </c>
    </row>
    <row r="353" spans="2:40" x14ac:dyDescent="0.35">
      <c r="B353" s="15">
        <v>41723</v>
      </c>
      <c r="C353" s="49" t="str">
        <f>$S$4</f>
        <v>AAPL</v>
      </c>
      <c r="D353" s="53">
        <f>CHOOSE($S$3,AJ353,AK353,AL353,AM353,AN353)</f>
        <v>75.75</v>
      </c>
      <c r="E353" s="55">
        <f t="shared" si="31"/>
        <v>1.0750651023937324E-2</v>
      </c>
      <c r="F353" s="55">
        <f t="shared" si="34"/>
        <v>1.0750651023937324E-2</v>
      </c>
      <c r="G353" s="70">
        <f t="shared" si="35"/>
        <v>9.4356611810542477E-3</v>
      </c>
      <c r="H353" s="53"/>
      <c r="I353" s="15">
        <v>41723</v>
      </c>
      <c r="J353" s="55">
        <v>3.0000000000000001E-3</v>
      </c>
      <c r="K353" s="55">
        <v>-3.4000000000000002E-3</v>
      </c>
      <c r="L353" s="55">
        <v>1.4000000000000002E-3</v>
      </c>
      <c r="M353" s="55">
        <v>0</v>
      </c>
      <c r="N353" s="70">
        <f t="shared" si="36"/>
        <v>2.4908548707753475E-3</v>
      </c>
      <c r="O353" s="70">
        <f t="shared" si="32"/>
        <v>-3.308349900596422E-3</v>
      </c>
      <c r="P353" s="70">
        <f t="shared" si="33"/>
        <v>1.698409542743539E-3</v>
      </c>
      <c r="AI353" s="15">
        <v>41723</v>
      </c>
      <c r="AJ353" s="2">
        <v>75.75</v>
      </c>
      <c r="AK353" s="2">
        <v>38.770000000000003</v>
      </c>
      <c r="AL353" s="2">
        <v>187.15</v>
      </c>
      <c r="AM353" s="2">
        <v>86.301761231008811</v>
      </c>
      <c r="AN353" s="2">
        <v>49.739522950864547</v>
      </c>
    </row>
    <row r="354" spans="2:40" x14ac:dyDescent="0.35">
      <c r="B354" s="15">
        <v>41722</v>
      </c>
      <c r="C354" s="49" t="str">
        <f>$S$4</f>
        <v>AAPL</v>
      </c>
      <c r="D354" s="53">
        <f>CHOOSE($S$3,AJ354,AK354,AL354,AM354,AN354)</f>
        <v>74.94</v>
      </c>
      <c r="E354" s="55">
        <f t="shared" si="31"/>
        <v>1.1812217880074636E-2</v>
      </c>
      <c r="F354" s="55">
        <f t="shared" si="34"/>
        <v>1.1812217880074636E-2</v>
      </c>
      <c r="G354" s="70">
        <f t="shared" si="35"/>
        <v>1.049722803719156E-2</v>
      </c>
      <c r="H354" s="53"/>
      <c r="I354" s="15">
        <v>41722</v>
      </c>
      <c r="J354" s="55">
        <v>-6.4000000000000003E-3</v>
      </c>
      <c r="K354" s="55">
        <v>-8.8999999999999999E-3</v>
      </c>
      <c r="L354" s="55">
        <v>9.5999999999999992E-3</v>
      </c>
      <c r="M354" s="55">
        <v>0</v>
      </c>
      <c r="N354" s="70">
        <f t="shared" si="36"/>
        <v>-6.9091451292246529E-3</v>
      </c>
      <c r="O354" s="70">
        <f t="shared" si="32"/>
        <v>-8.8083499005964221E-3</v>
      </c>
      <c r="P354" s="70">
        <f t="shared" si="33"/>
        <v>9.898409542743538E-3</v>
      </c>
      <c r="AI354" s="15">
        <v>41722</v>
      </c>
      <c r="AJ354" s="2">
        <v>74.94</v>
      </c>
      <c r="AK354" s="2">
        <v>38.92</v>
      </c>
      <c r="AL354" s="2">
        <v>180.63</v>
      </c>
      <c r="AM354" s="2">
        <v>84.337039747225802</v>
      </c>
      <c r="AN354" s="2">
        <v>48.969321506704375</v>
      </c>
    </row>
    <row r="355" spans="2:40" x14ac:dyDescent="0.35">
      <c r="B355" s="15">
        <v>41719</v>
      </c>
      <c r="C355" s="49" t="str">
        <f>$S$4</f>
        <v>AAPL</v>
      </c>
      <c r="D355" s="53">
        <f>CHOOSE($S$3,AJ355,AK355,AL355,AM355,AN355)</f>
        <v>74.06</v>
      </c>
      <c r="E355" s="55">
        <f t="shared" si="31"/>
        <v>7.8623151385416434E-3</v>
      </c>
      <c r="F355" s="55">
        <f t="shared" si="34"/>
        <v>7.8623151385416434E-3</v>
      </c>
      <c r="G355" s="70">
        <f t="shared" si="35"/>
        <v>6.5473252956585667E-3</v>
      </c>
      <c r="H355" s="53"/>
      <c r="I355" s="15">
        <v>41719</v>
      </c>
      <c r="J355" s="55">
        <v>-3.7000000000000002E-3</v>
      </c>
      <c r="K355" s="55">
        <v>-2.8000000000000004E-3</v>
      </c>
      <c r="L355" s="55">
        <v>8.8000000000000005E-3</v>
      </c>
      <c r="M355" s="55">
        <v>0</v>
      </c>
      <c r="N355" s="70">
        <f t="shared" si="36"/>
        <v>-4.2091451292246528E-3</v>
      </c>
      <c r="O355" s="70">
        <f t="shared" si="32"/>
        <v>-2.7083499005964222E-3</v>
      </c>
      <c r="P355" s="70">
        <f t="shared" si="33"/>
        <v>9.0984095427435394E-3</v>
      </c>
      <c r="AI355" s="15">
        <v>41719</v>
      </c>
      <c r="AJ355" s="2">
        <v>74.06</v>
      </c>
      <c r="AK355" s="2">
        <v>38.6</v>
      </c>
      <c r="AL355" s="2">
        <v>179.11</v>
      </c>
      <c r="AM355" s="2">
        <v>83.487018552394176</v>
      </c>
      <c r="AN355" s="2">
        <v>48.561970553285022</v>
      </c>
    </row>
    <row r="356" spans="2:40" x14ac:dyDescent="0.35">
      <c r="B356" s="15">
        <v>41718</v>
      </c>
      <c r="C356" s="49" t="str">
        <f>$S$4</f>
        <v>AAPL</v>
      </c>
      <c r="D356" s="53">
        <f>CHOOSE($S$3,AJ356,AK356,AL356,AM356,AN356)</f>
        <v>73.48</v>
      </c>
      <c r="E356" s="55">
        <f t="shared" si="31"/>
        <v>-4.8873298476717914E-3</v>
      </c>
      <c r="F356" s="55">
        <f t="shared" si="34"/>
        <v>-4.8873298476717914E-3</v>
      </c>
      <c r="G356" s="70">
        <f t="shared" si="35"/>
        <v>-6.202319690554868E-3</v>
      </c>
      <c r="H356" s="53"/>
      <c r="I356" s="15">
        <v>41718</v>
      </c>
      <c r="J356" s="55">
        <v>5.1999999999999998E-3</v>
      </c>
      <c r="K356" s="55">
        <v>-4.7999999999999996E-3</v>
      </c>
      <c r="L356" s="55">
        <v>9.8999999999999991E-3</v>
      </c>
      <c r="M356" s="55">
        <v>0</v>
      </c>
      <c r="N356" s="70">
        <f t="shared" si="36"/>
        <v>4.6908548707753472E-3</v>
      </c>
      <c r="O356" s="70">
        <f t="shared" si="32"/>
        <v>-4.7083499005964209E-3</v>
      </c>
      <c r="P356" s="70">
        <f t="shared" si="33"/>
        <v>1.0198409542743538E-2</v>
      </c>
      <c r="AI356" s="15">
        <v>41718</v>
      </c>
      <c r="AJ356" s="2">
        <v>73.48</v>
      </c>
      <c r="AK356" s="2">
        <v>38.76</v>
      </c>
      <c r="AL356" s="2">
        <v>180.29</v>
      </c>
      <c r="AM356" s="2">
        <v>83.435116435229261</v>
      </c>
      <c r="AN356" s="2">
        <v>48.822583416750177</v>
      </c>
    </row>
    <row r="357" spans="2:40" x14ac:dyDescent="0.35">
      <c r="B357" s="15">
        <v>41717</v>
      </c>
      <c r="C357" s="49" t="str">
        <f>$S$4</f>
        <v>AAPL</v>
      </c>
      <c r="D357" s="53">
        <f>CHOOSE($S$3,AJ357,AK357,AL357,AM357,AN357)</f>
        <v>73.84</v>
      </c>
      <c r="E357" s="55">
        <f t="shared" si="31"/>
        <v>-2.7081922982034851E-4</v>
      </c>
      <c r="F357" s="55">
        <f t="shared" si="34"/>
        <v>-2.7081922982034851E-4</v>
      </c>
      <c r="G357" s="70">
        <f t="shared" si="35"/>
        <v>-1.5858090727034256E-3</v>
      </c>
      <c r="H357" s="53"/>
      <c r="I357" s="15">
        <v>41717</v>
      </c>
      <c r="J357" s="55">
        <v>-5.8999999999999999E-3</v>
      </c>
      <c r="K357" s="55">
        <v>-1.7000000000000001E-3</v>
      </c>
      <c r="L357" s="55">
        <v>6.0000000000000001E-3</v>
      </c>
      <c r="M357" s="55">
        <v>0</v>
      </c>
      <c r="N357" s="70">
        <f t="shared" si="36"/>
        <v>-6.4091451292246525E-3</v>
      </c>
      <c r="O357" s="70">
        <f t="shared" si="32"/>
        <v>-1.6083499005964219E-3</v>
      </c>
      <c r="P357" s="70">
        <f t="shared" si="33"/>
        <v>6.298409542743539E-3</v>
      </c>
      <c r="AI357" s="15">
        <v>41717</v>
      </c>
      <c r="AJ357" s="2">
        <v>73.84</v>
      </c>
      <c r="AK357" s="2">
        <v>37.74</v>
      </c>
      <c r="AL357" s="2">
        <v>177.23</v>
      </c>
      <c r="AM357" s="2">
        <v>82.931445217975977</v>
      </c>
      <c r="AN357" s="2">
        <v>47.7658565670325</v>
      </c>
    </row>
    <row r="358" spans="2:40" x14ac:dyDescent="0.35">
      <c r="B358" s="15">
        <v>41716</v>
      </c>
      <c r="C358" s="49" t="str">
        <f>$S$4</f>
        <v>AAPL</v>
      </c>
      <c r="D358" s="53">
        <f>CHOOSE($S$3,AJ358,AK358,AL358,AM358,AN358)</f>
        <v>73.86</v>
      </c>
      <c r="E358" s="55">
        <f t="shared" si="31"/>
        <v>8.8393857658658811E-3</v>
      </c>
      <c r="F358" s="55">
        <f t="shared" si="34"/>
        <v>8.8393857658658811E-3</v>
      </c>
      <c r="G358" s="70">
        <f t="shared" si="35"/>
        <v>7.5243959229828045E-3</v>
      </c>
      <c r="H358" s="53"/>
      <c r="I358" s="15">
        <v>41716</v>
      </c>
      <c r="J358" s="55">
        <v>8.199999999999999E-3</v>
      </c>
      <c r="K358" s="55">
        <v>7.4000000000000003E-3</v>
      </c>
      <c r="L358" s="55">
        <v>-4.1999999999999997E-3</v>
      </c>
      <c r="M358" s="55">
        <v>0</v>
      </c>
      <c r="N358" s="70">
        <f t="shared" si="36"/>
        <v>7.6908548707753464E-3</v>
      </c>
      <c r="O358" s="70">
        <f t="shared" si="32"/>
        <v>7.491650099403579E-3</v>
      </c>
      <c r="P358" s="70">
        <f t="shared" si="33"/>
        <v>-3.9015904572564609E-3</v>
      </c>
      <c r="AI358" s="15">
        <v>41716</v>
      </c>
      <c r="AJ358" s="2">
        <v>73.86</v>
      </c>
      <c r="AK358" s="2">
        <v>38.01</v>
      </c>
      <c r="AL358" s="2">
        <v>179.25</v>
      </c>
      <c r="AM358" s="2">
        <v>83.415286958046451</v>
      </c>
      <c r="AN358" s="2">
        <v>48.208928639018431</v>
      </c>
    </row>
    <row r="359" spans="2:40" x14ac:dyDescent="0.35">
      <c r="B359" s="15">
        <v>41715</v>
      </c>
      <c r="C359" s="49" t="str">
        <f>$S$4</f>
        <v>AAPL</v>
      </c>
      <c r="D359" s="53">
        <f>CHOOSE($S$3,AJ359,AK359,AL359,AM359,AN359)</f>
        <v>73.209999999999994</v>
      </c>
      <c r="E359" s="55">
        <f t="shared" si="31"/>
        <v>3.9690738480890183E-3</v>
      </c>
      <c r="F359" s="55">
        <f t="shared" si="34"/>
        <v>3.9690738480890183E-3</v>
      </c>
      <c r="G359" s="70">
        <f t="shared" si="35"/>
        <v>2.6540840052059413E-3</v>
      </c>
      <c r="H359" s="53"/>
      <c r="I359" s="15">
        <v>41715</v>
      </c>
      <c r="J359" s="55">
        <v>9.0000000000000011E-3</v>
      </c>
      <c r="K359" s="55">
        <v>-3.5999999999999999E-3</v>
      </c>
      <c r="L359" s="55">
        <v>-1E-4</v>
      </c>
      <c r="M359" s="55">
        <v>0</v>
      </c>
      <c r="N359" s="70">
        <f t="shared" si="36"/>
        <v>8.4908548707753485E-3</v>
      </c>
      <c r="O359" s="70">
        <f t="shared" si="32"/>
        <v>-3.5083499005964217E-3</v>
      </c>
      <c r="P359" s="70">
        <f t="shared" si="33"/>
        <v>1.9840954274353884E-4</v>
      </c>
      <c r="AI359" s="15">
        <v>41715</v>
      </c>
      <c r="AJ359" s="2">
        <v>73.209999999999994</v>
      </c>
      <c r="AK359" s="2">
        <v>36.57</v>
      </c>
      <c r="AL359" s="2">
        <v>178.29</v>
      </c>
      <c r="AM359" s="2">
        <v>82.82487014578669</v>
      </c>
      <c r="AN359" s="2">
        <v>47.166641581566417</v>
      </c>
    </row>
    <row r="360" spans="2:40" x14ac:dyDescent="0.35">
      <c r="B360" s="15">
        <v>41712</v>
      </c>
      <c r="C360" s="49" t="str">
        <f>$S$4</f>
        <v>AAPL</v>
      </c>
      <c r="D360" s="53">
        <f>CHOOSE($S$3,AJ360,AK360,AL360,AM360,AN360)</f>
        <v>72.92</v>
      </c>
      <c r="E360" s="55">
        <f t="shared" si="31"/>
        <v>-1.1318045409466895E-2</v>
      </c>
      <c r="F360" s="55">
        <f t="shared" si="34"/>
        <v>-1.1318045409466895E-2</v>
      </c>
      <c r="G360" s="70">
        <f t="shared" si="35"/>
        <v>-1.2633035252349972E-2</v>
      </c>
      <c r="H360" s="53"/>
      <c r="I360" s="15">
        <v>41712</v>
      </c>
      <c r="J360" s="55">
        <v>-1.6000000000000001E-3</v>
      </c>
      <c r="K360" s="55">
        <v>6.8000000000000005E-3</v>
      </c>
      <c r="L360" s="55">
        <v>-5.0000000000000001E-4</v>
      </c>
      <c r="M360" s="55">
        <v>0</v>
      </c>
      <c r="N360" s="70">
        <f t="shared" si="36"/>
        <v>-2.1091451292246524E-3</v>
      </c>
      <c r="O360" s="70">
        <f t="shared" si="32"/>
        <v>6.8916500994035792E-3</v>
      </c>
      <c r="P360" s="70">
        <f t="shared" si="33"/>
        <v>-2.0159045725646118E-4</v>
      </c>
      <c r="AI360" s="15">
        <v>41712</v>
      </c>
      <c r="AJ360" s="2">
        <v>72.92</v>
      </c>
      <c r="AK360" s="2">
        <v>36.229999999999997</v>
      </c>
      <c r="AL360" s="2">
        <v>174.83</v>
      </c>
      <c r="AM360" s="2">
        <v>81.857152965901435</v>
      </c>
      <c r="AN360" s="2">
        <v>46.489710116991716</v>
      </c>
    </row>
    <row r="361" spans="2:40" x14ac:dyDescent="0.35">
      <c r="B361" s="15">
        <v>41711</v>
      </c>
      <c r="C361" s="49" t="str">
        <f>$S$4</f>
        <v>AAPL</v>
      </c>
      <c r="D361" s="53">
        <f>CHOOSE($S$3,AJ361,AK361,AL361,AM361,AN361)</f>
        <v>73.75</v>
      </c>
      <c r="E361" s="55">
        <f t="shared" si="31"/>
        <v>-1.1191379530745518E-2</v>
      </c>
      <c r="F361" s="55">
        <f t="shared" si="34"/>
        <v>-1.1191379530745518E-2</v>
      </c>
      <c r="G361" s="70">
        <f t="shared" si="35"/>
        <v>-1.2506369373628595E-2</v>
      </c>
      <c r="H361" s="53"/>
      <c r="I361" s="15">
        <v>41711</v>
      </c>
      <c r="J361" s="55">
        <v>-1.21E-2</v>
      </c>
      <c r="K361" s="55">
        <v>-1.2999999999999999E-3</v>
      </c>
      <c r="L361" s="55">
        <v>2.7000000000000001E-3</v>
      </c>
      <c r="M361" s="55">
        <v>0</v>
      </c>
      <c r="N361" s="70">
        <f t="shared" si="36"/>
        <v>-1.2609145129224652E-2</v>
      </c>
      <c r="O361" s="70">
        <f t="shared" si="32"/>
        <v>-1.2083499005964217E-3</v>
      </c>
      <c r="P361" s="70">
        <f t="shared" si="33"/>
        <v>2.998409542743539E-3</v>
      </c>
      <c r="AI361" s="15">
        <v>41711</v>
      </c>
      <c r="AJ361" s="2">
        <v>73.75</v>
      </c>
      <c r="AK361" s="2">
        <v>36.42</v>
      </c>
      <c r="AL361" s="2">
        <v>176.46</v>
      </c>
      <c r="AM361" s="2">
        <v>82.704606952261159</v>
      </c>
      <c r="AN361" s="2">
        <v>46.82833222499945</v>
      </c>
    </row>
    <row r="362" spans="2:40" x14ac:dyDescent="0.35">
      <c r="B362" s="15">
        <v>41710</v>
      </c>
      <c r="C362" s="49" t="str">
        <f>$S$4</f>
        <v>AAPL</v>
      </c>
      <c r="D362" s="53">
        <f>CHOOSE($S$3,AJ362,AK362,AL362,AM362,AN362)</f>
        <v>74.58</v>
      </c>
      <c r="E362" s="55">
        <f t="shared" si="31"/>
        <v>9.3903018503847639E-4</v>
      </c>
      <c r="F362" s="55">
        <f t="shared" si="34"/>
        <v>9.3903018503847639E-4</v>
      </c>
      <c r="G362" s="70">
        <f t="shared" si="35"/>
        <v>-3.7595965784460066E-4</v>
      </c>
      <c r="H362" s="53"/>
      <c r="I362" s="15">
        <v>41710</v>
      </c>
      <c r="J362" s="55">
        <v>1.2999999999999999E-3</v>
      </c>
      <c r="K362" s="55">
        <v>3.0000000000000001E-3</v>
      </c>
      <c r="L362" s="55">
        <v>-1.6000000000000001E-3</v>
      </c>
      <c r="M362" s="55">
        <v>0</v>
      </c>
      <c r="N362" s="70">
        <f t="shared" si="36"/>
        <v>7.9085487077534735E-4</v>
      </c>
      <c r="O362" s="70">
        <f t="shared" si="32"/>
        <v>3.0916500994035783E-3</v>
      </c>
      <c r="P362" s="70">
        <f t="shared" si="33"/>
        <v>-1.3015904572564612E-3</v>
      </c>
      <c r="AI362" s="15">
        <v>41710</v>
      </c>
      <c r="AJ362" s="2">
        <v>74.58</v>
      </c>
      <c r="AK362" s="2">
        <v>36.78</v>
      </c>
      <c r="AL362" s="2">
        <v>178.68</v>
      </c>
      <c r="AM362" s="2">
        <v>83.690238780313777</v>
      </c>
      <c r="AN362" s="2">
        <v>47.354341618940701</v>
      </c>
    </row>
    <row r="363" spans="2:40" x14ac:dyDescent="0.35">
      <c r="B363" s="15">
        <v>41709</v>
      </c>
      <c r="C363" s="49" t="str">
        <f>$S$4</f>
        <v>AAPL</v>
      </c>
      <c r="D363" s="53">
        <f>CHOOSE($S$3,AJ363,AK363,AL363,AM363,AN363)</f>
        <v>74.510000000000005</v>
      </c>
      <c r="E363" s="55">
        <f t="shared" si="31"/>
        <v>9.7101234953607413E-3</v>
      </c>
      <c r="F363" s="55">
        <f t="shared" si="34"/>
        <v>9.7101234953607413E-3</v>
      </c>
      <c r="G363" s="70">
        <f t="shared" si="35"/>
        <v>8.3951336524776647E-3</v>
      </c>
      <c r="H363" s="53"/>
      <c r="I363" s="15">
        <v>41709</v>
      </c>
      <c r="J363" s="55">
        <v>-6.1999999999999998E-3</v>
      </c>
      <c r="K363" s="55">
        <v>-5.4000000000000003E-3</v>
      </c>
      <c r="L363" s="55">
        <v>-1.9E-3</v>
      </c>
      <c r="M363" s="55">
        <v>0</v>
      </c>
      <c r="N363" s="70">
        <f t="shared" si="36"/>
        <v>-6.7091451292246524E-3</v>
      </c>
      <c r="O363" s="70">
        <f t="shared" si="32"/>
        <v>-5.3083499005964216E-3</v>
      </c>
      <c r="P363" s="70">
        <f t="shared" si="33"/>
        <v>-1.6015904572564612E-3</v>
      </c>
      <c r="AI363" s="15">
        <v>41709</v>
      </c>
      <c r="AJ363" s="2">
        <v>74.510000000000005</v>
      </c>
      <c r="AK363" s="2">
        <v>36.54</v>
      </c>
      <c r="AL363" s="2">
        <v>179.2</v>
      </c>
      <c r="AM363" s="2">
        <v>83.77274233944776</v>
      </c>
      <c r="AN363" s="2">
        <v>47.268747346553873</v>
      </c>
    </row>
    <row r="364" spans="2:40" x14ac:dyDescent="0.35">
      <c r="B364" s="15">
        <v>41708</v>
      </c>
      <c r="C364" s="49" t="str">
        <f>$S$4</f>
        <v>AAPL</v>
      </c>
      <c r="D364" s="53">
        <f>CHOOSE($S$3,AJ364,AK364,AL364,AM364,AN364)</f>
        <v>73.790000000000006</v>
      </c>
      <c r="E364" s="55">
        <f t="shared" si="31"/>
        <v>9.4908826865288006E-4</v>
      </c>
      <c r="F364" s="55">
        <f t="shared" si="34"/>
        <v>9.4908826865288006E-4</v>
      </c>
      <c r="G364" s="70">
        <f t="shared" si="35"/>
        <v>-3.6590157423019699E-4</v>
      </c>
      <c r="H364" s="53"/>
      <c r="I364" s="15">
        <v>41708</v>
      </c>
      <c r="J364" s="55">
        <v>-8.9999999999999998E-4</v>
      </c>
      <c r="K364" s="55">
        <v>-1.1000000000000001E-3</v>
      </c>
      <c r="L364" s="55">
        <v>5.9999999999999995E-4</v>
      </c>
      <c r="M364" s="55">
        <v>0</v>
      </c>
      <c r="N364" s="70">
        <f t="shared" si="36"/>
        <v>-1.4091451292246526E-3</v>
      </c>
      <c r="O364" s="70">
        <f t="shared" si="32"/>
        <v>-1.0083499005964218E-3</v>
      </c>
      <c r="P364" s="70">
        <f t="shared" si="33"/>
        <v>8.9840954274353878E-4</v>
      </c>
      <c r="AI364" s="15">
        <v>41708</v>
      </c>
      <c r="AJ364" s="2">
        <v>73.790000000000006</v>
      </c>
      <c r="AK364" s="2">
        <v>36.35</v>
      </c>
      <c r="AL364" s="2">
        <v>178.85</v>
      </c>
      <c r="AM364" s="2">
        <v>83.28617946764723</v>
      </c>
      <c r="AN364" s="2">
        <v>47.099692891838259</v>
      </c>
    </row>
    <row r="365" spans="2:40" x14ac:dyDescent="0.35">
      <c r="B365" s="15">
        <v>41705</v>
      </c>
      <c r="C365" s="49" t="str">
        <f>$S$4</f>
        <v>AAPL</v>
      </c>
      <c r="D365" s="53">
        <f>CHOOSE($S$3,AJ365,AK365,AL365,AM365,AN365)</f>
        <v>73.72</v>
      </c>
      <c r="E365" s="55">
        <f t="shared" si="31"/>
        <v>-6.7801209458835969E-4</v>
      </c>
      <c r="F365" s="55">
        <f t="shared" si="34"/>
        <v>-6.7801209458835969E-4</v>
      </c>
      <c r="G365" s="70">
        <f t="shared" si="35"/>
        <v>-1.9930019374714367E-3</v>
      </c>
      <c r="H365" s="53"/>
      <c r="I365" s="15">
        <v>41705</v>
      </c>
      <c r="J365" s="55">
        <v>4.0000000000000002E-4</v>
      </c>
      <c r="K365" s="55">
        <v>-1.1000000000000001E-3</v>
      </c>
      <c r="L365" s="55">
        <v>5.1000000000000004E-3</v>
      </c>
      <c r="M365" s="55">
        <v>0</v>
      </c>
      <c r="N365" s="70">
        <f t="shared" si="36"/>
        <v>-1.0914512922465257E-4</v>
      </c>
      <c r="O365" s="70">
        <f t="shared" si="32"/>
        <v>-1.0083499005964218E-3</v>
      </c>
      <c r="P365" s="70">
        <f t="shared" si="33"/>
        <v>5.3984095427435392E-3</v>
      </c>
      <c r="AI365" s="15">
        <v>41705</v>
      </c>
      <c r="AJ365" s="2">
        <v>73.72</v>
      </c>
      <c r="AK365" s="2">
        <v>36.43</v>
      </c>
      <c r="AL365" s="2">
        <v>180.08</v>
      </c>
      <c r="AM365" s="2">
        <v>83.533066081558957</v>
      </c>
      <c r="AN365" s="2">
        <v>47.3134806766992</v>
      </c>
    </row>
    <row r="366" spans="2:40" x14ac:dyDescent="0.35">
      <c r="B366" s="15">
        <v>41704</v>
      </c>
      <c r="C366" s="49" t="str">
        <f>$S$4</f>
        <v>AAPL</v>
      </c>
      <c r="D366" s="53">
        <f>CHOOSE($S$3,AJ366,AK366,AL366,AM366,AN366)</f>
        <v>73.77</v>
      </c>
      <c r="E366" s="55">
        <f t="shared" si="31"/>
        <v>-2.9778040412486925E-3</v>
      </c>
      <c r="F366" s="55">
        <f t="shared" si="34"/>
        <v>-2.9778040412486925E-3</v>
      </c>
      <c r="G366" s="70">
        <f t="shared" si="35"/>
        <v>-4.2927938841317691E-3</v>
      </c>
      <c r="H366" s="53"/>
      <c r="I366" s="15">
        <v>41704</v>
      </c>
      <c r="J366" s="55">
        <v>1.6000000000000001E-3</v>
      </c>
      <c r="K366" s="55">
        <v>-3.2000000000000002E-3</v>
      </c>
      <c r="L366" s="55">
        <v>7.6E-3</v>
      </c>
      <c r="M366" s="55">
        <v>0</v>
      </c>
      <c r="N366" s="70">
        <f t="shared" si="36"/>
        <v>1.0908548707753475E-3</v>
      </c>
      <c r="O366" s="70">
        <f t="shared" si="32"/>
        <v>-3.1083499005964219E-3</v>
      </c>
      <c r="P366" s="70">
        <f t="shared" si="33"/>
        <v>7.8984095427435397E-3</v>
      </c>
      <c r="AI366" s="15">
        <v>41704</v>
      </c>
      <c r="AJ366" s="2">
        <v>73.77</v>
      </c>
      <c r="AK366" s="2">
        <v>36.67</v>
      </c>
      <c r="AL366" s="2">
        <v>180.04</v>
      </c>
      <c r="AM366" s="2">
        <v>83.552116569795899</v>
      </c>
      <c r="AN366" s="2">
        <v>47.464076018594724</v>
      </c>
    </row>
    <row r="367" spans="2:40" x14ac:dyDescent="0.35">
      <c r="B367" s="15">
        <v>41703</v>
      </c>
      <c r="C367" s="49" t="str">
        <f>$S$4</f>
        <v>AAPL</v>
      </c>
      <c r="D367" s="53">
        <f>CHOOSE($S$3,AJ367,AK367,AL367,AM367,AN367)</f>
        <v>73.989999999999995</v>
      </c>
      <c r="E367" s="55">
        <f t="shared" si="31"/>
        <v>2.1647958663852584E-3</v>
      </c>
      <c r="F367" s="55">
        <f t="shared" si="34"/>
        <v>2.1647958663852584E-3</v>
      </c>
      <c r="G367" s="70">
        <f t="shared" si="35"/>
        <v>8.4980602350218136E-4</v>
      </c>
      <c r="H367" s="53"/>
      <c r="I367" s="15">
        <v>41703</v>
      </c>
      <c r="J367" s="55">
        <v>1E-4</v>
      </c>
      <c r="K367" s="55">
        <v>-2.7000000000000001E-3</v>
      </c>
      <c r="L367" s="55">
        <v>2.8000000000000004E-3</v>
      </c>
      <c r="M367" s="55">
        <v>0</v>
      </c>
      <c r="N367" s="70">
        <f t="shared" si="36"/>
        <v>-4.091451292246526E-4</v>
      </c>
      <c r="O367" s="70">
        <f t="shared" si="32"/>
        <v>-2.6083499005964219E-3</v>
      </c>
      <c r="P367" s="70">
        <f t="shared" si="33"/>
        <v>3.0984095427435392E-3</v>
      </c>
      <c r="AI367" s="15">
        <v>41703</v>
      </c>
      <c r="AJ367" s="2">
        <v>73.989999999999995</v>
      </c>
      <c r="AK367" s="2">
        <v>36.630000000000003</v>
      </c>
      <c r="AL367" s="2">
        <v>179.57</v>
      </c>
      <c r="AM367" s="2">
        <v>83.567645194822632</v>
      </c>
      <c r="AN367" s="2">
        <v>47.376235655208191</v>
      </c>
    </row>
    <row r="368" spans="2:40" x14ac:dyDescent="0.35">
      <c r="B368" s="15">
        <v>41702</v>
      </c>
      <c r="C368" s="49" t="str">
        <f>$S$4</f>
        <v>AAPL</v>
      </c>
      <c r="D368" s="53">
        <f>CHOOSE($S$3,AJ368,AK368,AL368,AM368,AN368)</f>
        <v>73.83</v>
      </c>
      <c r="E368" s="55">
        <f t="shared" si="31"/>
        <v>6.5226484820835734E-3</v>
      </c>
      <c r="F368" s="55">
        <f t="shared" si="34"/>
        <v>6.5226484820835734E-3</v>
      </c>
      <c r="G368" s="70">
        <f t="shared" si="35"/>
        <v>5.2076586392004968E-3</v>
      </c>
      <c r="H368" s="53"/>
      <c r="I368" s="15">
        <v>41702</v>
      </c>
      <c r="J368" s="55">
        <v>1.67E-2</v>
      </c>
      <c r="K368" s="55">
        <v>1.11E-2</v>
      </c>
      <c r="L368" s="55">
        <v>-1.1999999999999999E-3</v>
      </c>
      <c r="M368" s="55">
        <v>0</v>
      </c>
      <c r="N368" s="70">
        <f t="shared" si="36"/>
        <v>1.6190854870775345E-2</v>
      </c>
      <c r="O368" s="70">
        <f t="shared" si="32"/>
        <v>1.1191650099403578E-2</v>
      </c>
      <c r="P368" s="70">
        <f t="shared" si="33"/>
        <v>-9.0159045725646107E-4</v>
      </c>
      <c r="AI368" s="15">
        <v>41702</v>
      </c>
      <c r="AJ368" s="2">
        <v>73.83</v>
      </c>
      <c r="AK368" s="2">
        <v>36.92</v>
      </c>
      <c r="AL368" s="2">
        <v>178.89</v>
      </c>
      <c r="AM368" s="2">
        <v>83.319061598838672</v>
      </c>
      <c r="AN368" s="2">
        <v>47.474071936594918</v>
      </c>
    </row>
    <row r="369" spans="2:40" x14ac:dyDescent="0.35">
      <c r="B369" s="15">
        <v>41701</v>
      </c>
      <c r="C369" s="49" t="str">
        <f>$S$4</f>
        <v>AAPL</v>
      </c>
      <c r="D369" s="53">
        <f>CHOOSE($S$3,AJ369,AK369,AL369,AM369,AN369)</f>
        <v>73.349999999999994</v>
      </c>
      <c r="E369" s="55">
        <f t="shared" si="31"/>
        <v>2.8670918677554448E-3</v>
      </c>
      <c r="F369" s="55">
        <f t="shared" si="34"/>
        <v>2.8670918677554448E-3</v>
      </c>
      <c r="G369" s="70">
        <f t="shared" si="35"/>
        <v>1.5521020248723677E-3</v>
      </c>
      <c r="H369" s="53"/>
      <c r="I369" s="15">
        <v>41701</v>
      </c>
      <c r="J369" s="55">
        <v>-6.9999999999999993E-3</v>
      </c>
      <c r="K369" s="55">
        <v>8.9999999999999998E-4</v>
      </c>
      <c r="L369" s="55">
        <v>1.5E-3</v>
      </c>
      <c r="M369" s="55">
        <v>0</v>
      </c>
      <c r="N369" s="70">
        <f t="shared" si="36"/>
        <v>-7.5091451292246519E-3</v>
      </c>
      <c r="O369" s="70">
        <f t="shared" si="32"/>
        <v>9.916500994035782E-4</v>
      </c>
      <c r="P369" s="70">
        <f t="shared" si="33"/>
        <v>1.7984095427435389E-3</v>
      </c>
      <c r="AI369" s="15">
        <v>41701</v>
      </c>
      <c r="AJ369" s="2">
        <v>73.349999999999994</v>
      </c>
      <c r="AK369" s="2">
        <v>36.31</v>
      </c>
      <c r="AL369" s="2">
        <v>176.8</v>
      </c>
      <c r="AM369" s="2">
        <v>82.561500551851225</v>
      </c>
      <c r="AN369" s="2">
        <v>46.804560115370734</v>
      </c>
    </row>
    <row r="370" spans="2:40" x14ac:dyDescent="0.35">
      <c r="B370" s="15">
        <v>41698</v>
      </c>
      <c r="C370" s="49" t="str">
        <f>$S$4</f>
        <v>AAPL</v>
      </c>
      <c r="D370" s="53">
        <f>CHOOSE($S$3,AJ370,AK370,AL370,AM370,AN370)</f>
        <v>73.14</v>
      </c>
      <c r="E370" s="55">
        <f t="shared" si="31"/>
        <v>-2.7307499219448757E-3</v>
      </c>
      <c r="F370" s="55">
        <f t="shared" si="34"/>
        <v>-2.7307499219448757E-3</v>
      </c>
      <c r="G370" s="70">
        <f t="shared" si="35"/>
        <v>-4.0457397648279523E-3</v>
      </c>
      <c r="H370" s="53"/>
      <c r="I370" s="15">
        <v>41698</v>
      </c>
      <c r="J370" s="55">
        <v>1.5E-3</v>
      </c>
      <c r="K370" s="55">
        <v>-7.0999999999999995E-3</v>
      </c>
      <c r="L370" s="55">
        <v>8.3000000000000001E-3</v>
      </c>
      <c r="M370" s="55">
        <v>0</v>
      </c>
      <c r="N370" s="70">
        <f t="shared" si="36"/>
        <v>9.9085487077534744E-4</v>
      </c>
      <c r="O370" s="70">
        <f t="shared" si="32"/>
        <v>-7.0083499005964209E-3</v>
      </c>
      <c r="P370" s="70">
        <f t="shared" si="33"/>
        <v>8.5984095427435389E-3</v>
      </c>
      <c r="AI370" s="15">
        <v>41698</v>
      </c>
      <c r="AJ370" s="2">
        <v>73.14</v>
      </c>
      <c r="AK370" s="2">
        <v>36.82</v>
      </c>
      <c r="AL370" s="2">
        <v>177.67</v>
      </c>
      <c r="AM370" s="2">
        <v>82.646449268430317</v>
      </c>
      <c r="AN370" s="2">
        <v>47.248420206918318</v>
      </c>
    </row>
    <row r="371" spans="2:40" x14ac:dyDescent="0.35">
      <c r="B371" s="15">
        <v>41697</v>
      </c>
      <c r="C371" s="49" t="str">
        <f>$S$4</f>
        <v>AAPL</v>
      </c>
      <c r="D371" s="53">
        <f>CHOOSE($S$3,AJ371,AK371,AL371,AM371,AN371)</f>
        <v>73.34</v>
      </c>
      <c r="E371" s="55">
        <f t="shared" si="31"/>
        <v>1.9829897916178996E-2</v>
      </c>
      <c r="F371" s="55">
        <f t="shared" si="34"/>
        <v>1.9829897916178996E-2</v>
      </c>
      <c r="G371" s="70">
        <f t="shared" si="35"/>
        <v>1.8514908073295918E-2</v>
      </c>
      <c r="H371" s="53"/>
      <c r="I371" s="15">
        <v>41697</v>
      </c>
      <c r="J371" s="55">
        <v>5.4000000000000003E-3</v>
      </c>
      <c r="K371" s="55">
        <v>1.5E-3</v>
      </c>
      <c r="L371" s="55">
        <v>1E-4</v>
      </c>
      <c r="M371" s="55">
        <v>0</v>
      </c>
      <c r="N371" s="70">
        <f t="shared" si="36"/>
        <v>4.8908548707753477E-3</v>
      </c>
      <c r="O371" s="70">
        <f t="shared" si="32"/>
        <v>1.5916500994035783E-3</v>
      </c>
      <c r="P371" s="70">
        <f t="shared" si="33"/>
        <v>3.9840954274353882E-4</v>
      </c>
      <c r="AI371" s="15">
        <v>41697</v>
      </c>
      <c r="AJ371" s="2">
        <v>73.34</v>
      </c>
      <c r="AK371" s="2">
        <v>36.39</v>
      </c>
      <c r="AL371" s="2">
        <v>177.77</v>
      </c>
      <c r="AM371" s="2">
        <v>82.782705289028897</v>
      </c>
      <c r="AN371" s="2">
        <v>46.985823069144146</v>
      </c>
    </row>
    <row r="372" spans="2:40" x14ac:dyDescent="0.35">
      <c r="B372" s="15">
        <v>41696</v>
      </c>
      <c r="C372" s="49" t="str">
        <f>$S$4</f>
        <v>AAPL</v>
      </c>
      <c r="D372" s="53">
        <f>CHOOSE($S$3,AJ372,AK372,AL372,AM372,AN372)</f>
        <v>71.900000000000006</v>
      </c>
      <c r="E372" s="55">
        <f t="shared" si="31"/>
        <v>-9.137541079880131E-3</v>
      </c>
      <c r="F372" s="55">
        <f t="shared" si="34"/>
        <v>-9.137541079880131E-3</v>
      </c>
      <c r="G372" s="70">
        <f t="shared" si="35"/>
        <v>-1.0452530922763208E-2</v>
      </c>
      <c r="H372" s="53"/>
      <c r="I372" s="15">
        <v>41696</v>
      </c>
      <c r="J372" s="55">
        <v>1.1999999999999999E-3</v>
      </c>
      <c r="K372" s="55">
        <v>6.8000000000000005E-3</v>
      </c>
      <c r="L372" s="55">
        <v>-8.9999999999999998E-4</v>
      </c>
      <c r="M372" s="55">
        <v>0</v>
      </c>
      <c r="N372" s="70">
        <f t="shared" si="36"/>
        <v>6.908548707753473E-4</v>
      </c>
      <c r="O372" s="70">
        <f t="shared" si="32"/>
        <v>6.8916500994035792E-3</v>
      </c>
      <c r="P372" s="70">
        <f t="shared" si="33"/>
        <v>-6.0159045725646115E-4</v>
      </c>
      <c r="AI372" s="15">
        <v>41696</v>
      </c>
      <c r="AJ372" s="2">
        <v>71.900000000000006</v>
      </c>
      <c r="AK372" s="2">
        <v>36.01</v>
      </c>
      <c r="AL372" s="2">
        <v>176.61</v>
      </c>
      <c r="AM372" s="2">
        <v>81.699913126619208</v>
      </c>
      <c r="AN372" s="2">
        <v>46.587202048282357</v>
      </c>
    </row>
    <row r="373" spans="2:40" x14ac:dyDescent="0.35">
      <c r="B373" s="15">
        <v>41695</v>
      </c>
      <c r="C373" s="49" t="str">
        <f>$S$4</f>
        <v>AAPL</v>
      </c>
      <c r="D373" s="53">
        <f>CHOOSE($S$3,AJ373,AK373,AL373,AM373,AN373)</f>
        <v>72.56</v>
      </c>
      <c r="E373" s="55">
        <f t="shared" si="31"/>
        <v>-1.0419617164622936E-2</v>
      </c>
      <c r="F373" s="55">
        <f t="shared" si="34"/>
        <v>-1.0419617164622936E-2</v>
      </c>
      <c r="G373" s="70">
        <f t="shared" si="35"/>
        <v>-1.1734607007506013E-2</v>
      </c>
      <c r="H373" s="53"/>
      <c r="I373" s="15">
        <v>41695</v>
      </c>
      <c r="J373" s="55">
        <v>-1E-3</v>
      </c>
      <c r="K373" s="55">
        <v>1.1999999999999999E-3</v>
      </c>
      <c r="L373" s="55">
        <v>-6.0999999999999995E-3</v>
      </c>
      <c r="M373" s="55">
        <v>0</v>
      </c>
      <c r="N373" s="70">
        <f t="shared" si="36"/>
        <v>-1.5091451292246526E-3</v>
      </c>
      <c r="O373" s="70">
        <f t="shared" si="32"/>
        <v>1.2916500994035781E-3</v>
      </c>
      <c r="P373" s="70">
        <f t="shared" si="33"/>
        <v>-5.8015904572564607E-3</v>
      </c>
      <c r="AI373" s="15">
        <v>41695</v>
      </c>
      <c r="AJ373" s="2">
        <v>72.56</v>
      </c>
      <c r="AK373" s="2">
        <v>36.08</v>
      </c>
      <c r="AL373" s="2">
        <v>175.81</v>
      </c>
      <c r="AM373" s="2">
        <v>81.889851577660806</v>
      </c>
      <c r="AN373" s="2">
        <v>46.52696828178064</v>
      </c>
    </row>
    <row r="374" spans="2:40" x14ac:dyDescent="0.35">
      <c r="B374" s="15">
        <v>41694</v>
      </c>
      <c r="C374" s="49" t="str">
        <f>$S$4</f>
        <v>AAPL</v>
      </c>
      <c r="D374" s="53">
        <f>CHOOSE($S$3,AJ374,AK374,AL374,AM374,AN374)</f>
        <v>73.319999999999993</v>
      </c>
      <c r="E374" s="55">
        <f t="shared" si="31"/>
        <v>4.3739818231129856E-3</v>
      </c>
      <c r="F374" s="55">
        <f t="shared" si="34"/>
        <v>4.3739818231129856E-3</v>
      </c>
      <c r="G374" s="70">
        <f t="shared" si="35"/>
        <v>3.0589919802299086E-3</v>
      </c>
      <c r="H374" s="53"/>
      <c r="I374" s="15">
        <v>41694</v>
      </c>
      <c r="J374" s="55">
        <v>6.5000000000000006E-3</v>
      </c>
      <c r="K374" s="55">
        <v>1.9E-3</v>
      </c>
      <c r="L374" s="55">
        <v>2.5999999999999999E-3</v>
      </c>
      <c r="M374" s="55">
        <v>0</v>
      </c>
      <c r="N374" s="70">
        <f t="shared" si="36"/>
        <v>5.990854870775348E-3</v>
      </c>
      <c r="O374" s="70">
        <f t="shared" si="32"/>
        <v>1.9916500994035784E-3</v>
      </c>
      <c r="P374" s="70">
        <f t="shared" si="33"/>
        <v>2.8984095427435387E-3</v>
      </c>
      <c r="AI374" s="15">
        <v>41694</v>
      </c>
      <c r="AJ374" s="2">
        <v>73.319999999999993</v>
      </c>
      <c r="AK374" s="2">
        <v>36.22</v>
      </c>
      <c r="AL374" s="2">
        <v>176.02</v>
      </c>
      <c r="AM374" s="2">
        <v>82.367619971028702</v>
      </c>
      <c r="AN374" s="2">
        <v>46.645024354331007</v>
      </c>
    </row>
    <row r="375" spans="2:40" x14ac:dyDescent="0.35">
      <c r="B375" s="15">
        <v>41691</v>
      </c>
      <c r="C375" s="49" t="str">
        <f>$S$4</f>
        <v>AAPL</v>
      </c>
      <c r="D375" s="53">
        <f>CHOOSE($S$3,AJ375,AK375,AL375,AM375,AN375)</f>
        <v>73</v>
      </c>
      <c r="E375" s="55">
        <f t="shared" si="31"/>
        <v>-1.1170256453461244E-2</v>
      </c>
      <c r="F375" s="55">
        <f t="shared" si="34"/>
        <v>-1.1170256453461244E-2</v>
      </c>
      <c r="G375" s="70">
        <f t="shared" si="35"/>
        <v>-1.2485246296344321E-2</v>
      </c>
      <c r="H375" s="53"/>
      <c r="I375" s="15">
        <v>41691</v>
      </c>
      <c r="J375" s="55">
        <v>-8.9999999999999998E-4</v>
      </c>
      <c r="K375" s="55">
        <v>3.4000000000000002E-3</v>
      </c>
      <c r="L375" s="55">
        <v>-4.0000000000000002E-4</v>
      </c>
      <c r="M375" s="55">
        <v>0</v>
      </c>
      <c r="N375" s="70">
        <f t="shared" si="36"/>
        <v>-1.4091451292246526E-3</v>
      </c>
      <c r="O375" s="70">
        <f t="shared" si="32"/>
        <v>3.4916500994035785E-3</v>
      </c>
      <c r="P375" s="70">
        <f t="shared" si="33"/>
        <v>-1.0159045725646119E-4</v>
      </c>
      <c r="AI375" s="15">
        <v>41691</v>
      </c>
      <c r="AJ375" s="2">
        <v>73</v>
      </c>
      <c r="AK375" s="2">
        <v>36.5</v>
      </c>
      <c r="AL375" s="2">
        <v>175.39</v>
      </c>
      <c r="AM375" s="2">
        <v>82.040473549940018</v>
      </c>
      <c r="AN375" s="2">
        <v>46.741845358650799</v>
      </c>
    </row>
    <row r="376" spans="2:40" x14ac:dyDescent="0.35">
      <c r="B376" s="15">
        <v>41690</v>
      </c>
      <c r="C376" s="49" t="str">
        <f>$S$4</f>
        <v>AAPL</v>
      </c>
      <c r="D376" s="53">
        <f>CHOOSE($S$3,AJ376,AK376,AL376,AM376,AN376)</f>
        <v>73.819999999999993</v>
      </c>
      <c r="E376" s="55">
        <f t="shared" si="31"/>
        <v>-1.171651676712283E-2</v>
      </c>
      <c r="F376" s="55">
        <f t="shared" si="34"/>
        <v>-1.171651676712283E-2</v>
      </c>
      <c r="G376" s="70">
        <f t="shared" si="35"/>
        <v>-1.3031506610005907E-2</v>
      </c>
      <c r="H376" s="53"/>
      <c r="I376" s="15">
        <v>41690</v>
      </c>
      <c r="J376" s="55">
        <v>6.9999999999999993E-3</v>
      </c>
      <c r="K376" s="55">
        <v>5.4000000000000003E-3</v>
      </c>
      <c r="L376" s="55">
        <v>-1.4000000000000002E-3</v>
      </c>
      <c r="M376" s="55">
        <v>0</v>
      </c>
      <c r="N376" s="70">
        <f t="shared" si="36"/>
        <v>6.4908548707753467E-3</v>
      </c>
      <c r="O376" s="70">
        <f t="shared" si="32"/>
        <v>5.4916500994035789E-3</v>
      </c>
      <c r="P376" s="70">
        <f t="shared" si="33"/>
        <v>-1.1015904572564614E-3</v>
      </c>
      <c r="AI376" s="15">
        <v>41690</v>
      </c>
      <c r="AJ376" s="2">
        <v>73.819999999999993</v>
      </c>
      <c r="AK376" s="2">
        <v>36.28</v>
      </c>
      <c r="AL376" s="2">
        <v>176.8</v>
      </c>
      <c r="AM376" s="2">
        <v>82.831019801868337</v>
      </c>
      <c r="AN376" s="2">
        <v>46.788863672806514</v>
      </c>
    </row>
    <row r="377" spans="2:40" x14ac:dyDescent="0.35">
      <c r="B377" s="15">
        <v>41689</v>
      </c>
      <c r="C377" s="49" t="str">
        <f>$S$4</f>
        <v>AAPL</v>
      </c>
      <c r="D377" s="53">
        <f>CHOOSE($S$3,AJ377,AK377,AL377,AM377,AN377)</f>
        <v>74.69</v>
      </c>
      <c r="E377" s="55">
        <f t="shared" si="31"/>
        <v>-1.5806930697838107E-2</v>
      </c>
      <c r="F377" s="55">
        <f t="shared" si="34"/>
        <v>-1.5806930697838107E-2</v>
      </c>
      <c r="G377" s="70">
        <f t="shared" si="35"/>
        <v>-1.7121920540721185E-2</v>
      </c>
      <c r="H377" s="53"/>
      <c r="I377" s="15">
        <v>41689</v>
      </c>
      <c r="J377" s="55">
        <v>-7.4000000000000003E-3</v>
      </c>
      <c r="K377" s="55">
        <v>-2.8000000000000004E-3</v>
      </c>
      <c r="L377" s="55">
        <v>-4.0000000000000001E-3</v>
      </c>
      <c r="M377" s="55">
        <v>0</v>
      </c>
      <c r="N377" s="70">
        <f t="shared" si="36"/>
        <v>-7.9091451292246529E-3</v>
      </c>
      <c r="O377" s="70">
        <f t="shared" si="32"/>
        <v>-2.7083499005964222E-3</v>
      </c>
      <c r="P377" s="70">
        <f t="shared" si="33"/>
        <v>-3.7015904572564613E-3</v>
      </c>
      <c r="AI377" s="15">
        <v>41689</v>
      </c>
      <c r="AJ377" s="2">
        <v>74.69</v>
      </c>
      <c r="AK377" s="2">
        <v>36.049999999999997</v>
      </c>
      <c r="AL377" s="2">
        <v>175.54</v>
      </c>
      <c r="AM377" s="2">
        <v>83.023963363175938</v>
      </c>
      <c r="AN377" s="2">
        <v>46.473827753110989</v>
      </c>
    </row>
    <row r="378" spans="2:40" x14ac:dyDescent="0.35">
      <c r="B378" s="15">
        <v>41688</v>
      </c>
      <c r="C378" s="49" t="str">
        <f>$S$4</f>
        <v>AAPL</v>
      </c>
      <c r="D378" s="53">
        <f>CHOOSE($S$3,AJ378,AK378,AL378,AM378,AN378)</f>
        <v>75.88</v>
      </c>
      <c r="E378" s="55">
        <f t="shared" si="31"/>
        <v>3.5645954966348177E-3</v>
      </c>
      <c r="F378" s="55">
        <f t="shared" si="34"/>
        <v>3.5645954966348177E-3</v>
      </c>
      <c r="G378" s="70">
        <f t="shared" si="35"/>
        <v>2.2496056537517407E-3</v>
      </c>
      <c r="H378" s="53"/>
      <c r="I378" s="15">
        <v>41688</v>
      </c>
      <c r="J378" s="55">
        <v>2.7000000000000001E-3</v>
      </c>
      <c r="K378" s="55">
        <v>9.7999999999999997E-3</v>
      </c>
      <c r="L378" s="55">
        <v>-2.3999999999999998E-3</v>
      </c>
      <c r="M378" s="55">
        <v>0</v>
      </c>
      <c r="N378" s="70">
        <f t="shared" si="36"/>
        <v>2.1908548707753476E-3</v>
      </c>
      <c r="O378" s="70">
        <f t="shared" si="32"/>
        <v>9.8916500994035775E-3</v>
      </c>
      <c r="P378" s="70">
        <f t="shared" si="33"/>
        <v>-2.101590457256461E-3</v>
      </c>
      <c r="AI378" s="15">
        <v>41688</v>
      </c>
      <c r="AJ378" s="2">
        <v>75.88</v>
      </c>
      <c r="AK378" s="2">
        <v>35.96</v>
      </c>
      <c r="AL378" s="2">
        <v>175.77</v>
      </c>
      <c r="AM378" s="2">
        <v>83.739744656807062</v>
      </c>
      <c r="AN378" s="2">
        <v>46.446262036549335</v>
      </c>
    </row>
    <row r="379" spans="2:40" x14ac:dyDescent="0.35">
      <c r="B379" s="15">
        <v>41684</v>
      </c>
      <c r="C379" s="49" t="str">
        <f>$S$4</f>
        <v>AAPL</v>
      </c>
      <c r="D379" s="53">
        <f>CHOOSE($S$3,AJ379,AK379,AL379,AM379,AN379)</f>
        <v>75.61</v>
      </c>
      <c r="E379" s="55">
        <f t="shared" si="31"/>
        <v>-7.9323113625175948E-4</v>
      </c>
      <c r="F379" s="55">
        <f t="shared" si="34"/>
        <v>-7.9323113625175948E-4</v>
      </c>
      <c r="G379" s="70">
        <f t="shared" si="35"/>
        <v>-2.1082209791348366E-3</v>
      </c>
      <c r="H379" s="53"/>
      <c r="I379" s="15">
        <v>41684</v>
      </c>
      <c r="J379" s="55">
        <v>4.1999999999999997E-3</v>
      </c>
      <c r="K379" s="55">
        <v>-3.7000000000000002E-3</v>
      </c>
      <c r="L379" s="55">
        <v>3.8E-3</v>
      </c>
      <c r="M379" s="55">
        <v>0</v>
      </c>
      <c r="N379" s="70">
        <f t="shared" si="36"/>
        <v>3.6908548707753472E-3</v>
      </c>
      <c r="O379" s="70">
        <f t="shared" si="32"/>
        <v>-3.6083499005964219E-3</v>
      </c>
      <c r="P379" s="70">
        <f t="shared" si="33"/>
        <v>4.0984095427435384E-3</v>
      </c>
      <c r="AI379" s="15">
        <v>41684</v>
      </c>
      <c r="AJ379" s="2">
        <v>75.61</v>
      </c>
      <c r="AK379" s="2">
        <v>35.89</v>
      </c>
      <c r="AL379" s="2">
        <v>176.25</v>
      </c>
      <c r="AM379" s="2">
        <v>83.705101171576061</v>
      </c>
      <c r="AN379" s="2">
        <v>46.46447440778006</v>
      </c>
    </row>
    <row r="380" spans="2:40" x14ac:dyDescent="0.35">
      <c r="B380" s="15">
        <v>41683</v>
      </c>
      <c r="C380" s="49" t="str">
        <f>$S$4</f>
        <v>AAPL</v>
      </c>
      <c r="D380" s="53">
        <f>CHOOSE($S$3,AJ380,AK380,AL380,AM380,AN380)</f>
        <v>75.67</v>
      </c>
      <c r="E380" s="55">
        <f t="shared" si="31"/>
        <v>1.5851147737618563E-2</v>
      </c>
      <c r="F380" s="55">
        <f t="shared" si="34"/>
        <v>1.5851147737618563E-2</v>
      </c>
      <c r="G380" s="70">
        <f t="shared" si="35"/>
        <v>1.4536157894735486E-2</v>
      </c>
      <c r="H380" s="53"/>
      <c r="I380" s="15">
        <v>41683</v>
      </c>
      <c r="J380" s="55">
        <v>7.1999999999999998E-3</v>
      </c>
      <c r="K380" s="55">
        <v>7.1999999999999998E-3</v>
      </c>
      <c r="L380" s="55">
        <v>-8.9999999999999998E-4</v>
      </c>
      <c r="M380" s="55">
        <v>0</v>
      </c>
      <c r="N380" s="70">
        <f t="shared" si="36"/>
        <v>6.6908548707753472E-3</v>
      </c>
      <c r="O380" s="70">
        <f t="shared" si="32"/>
        <v>7.2916500994035785E-3</v>
      </c>
      <c r="P380" s="70">
        <f t="shared" si="33"/>
        <v>-6.0159045725646115E-4</v>
      </c>
      <c r="AI380" s="15">
        <v>41683</v>
      </c>
      <c r="AJ380" s="2">
        <v>75.67</v>
      </c>
      <c r="AK380" s="2">
        <v>35.880000000000003</v>
      </c>
      <c r="AL380" s="2">
        <v>174.48</v>
      </c>
      <c r="AM380" s="2">
        <v>83.318006622996805</v>
      </c>
      <c r="AN380" s="2">
        <v>46.224690251523228</v>
      </c>
    </row>
    <row r="381" spans="2:40" x14ac:dyDescent="0.35">
      <c r="B381" s="15">
        <v>41682</v>
      </c>
      <c r="C381" s="49" t="str">
        <f>$S$4</f>
        <v>AAPL</v>
      </c>
      <c r="D381" s="53">
        <f>CHOOSE($S$3,AJ381,AK381,AL381,AM381,AN381)</f>
        <v>74.48</v>
      </c>
      <c r="E381" s="55">
        <f t="shared" si="31"/>
        <v>-1.3425521937320659E-4</v>
      </c>
      <c r="F381" s="55">
        <f t="shared" si="34"/>
        <v>-1.3425521937320659E-4</v>
      </c>
      <c r="G381" s="70">
        <f t="shared" si="35"/>
        <v>-1.4492450622562837E-3</v>
      </c>
      <c r="H381" s="53"/>
      <c r="I381" s="15">
        <v>41682</v>
      </c>
      <c r="J381" s="55">
        <v>1.1000000000000001E-3</v>
      </c>
      <c r="K381" s="55">
        <v>2.5000000000000001E-3</v>
      </c>
      <c r="L381" s="55">
        <v>-8.0000000000000004E-4</v>
      </c>
      <c r="M381" s="55">
        <v>0</v>
      </c>
      <c r="N381" s="70">
        <f t="shared" si="36"/>
        <v>5.9085487077534748E-4</v>
      </c>
      <c r="O381" s="70">
        <f t="shared" si="32"/>
        <v>2.5916500994035783E-3</v>
      </c>
      <c r="P381" s="70">
        <f t="shared" si="33"/>
        <v>-5.0159045725646121E-4</v>
      </c>
      <c r="AI381" s="15">
        <v>41682</v>
      </c>
      <c r="AJ381" s="2">
        <v>74.48</v>
      </c>
      <c r="AK381" s="2">
        <v>35.74</v>
      </c>
      <c r="AL381" s="2">
        <v>172.94</v>
      </c>
      <c r="AM381" s="2">
        <v>82.295177861592933</v>
      </c>
      <c r="AN381" s="2">
        <v>45.930513509808748</v>
      </c>
    </row>
    <row r="382" spans="2:40" x14ac:dyDescent="0.35">
      <c r="B382" s="15">
        <v>41681</v>
      </c>
      <c r="C382" s="49" t="str">
        <f>$S$4</f>
        <v>AAPL</v>
      </c>
      <c r="D382" s="53">
        <f>CHOOSE($S$3,AJ382,AK382,AL382,AM382,AN382)</f>
        <v>74.489999999999995</v>
      </c>
      <c r="E382" s="55">
        <f t="shared" si="31"/>
        <v>1.3107410140753241E-2</v>
      </c>
      <c r="F382" s="55">
        <f t="shared" si="34"/>
        <v>1.3107410140753241E-2</v>
      </c>
      <c r="G382" s="70">
        <f t="shared" si="35"/>
        <v>1.1792420297870164E-2</v>
      </c>
      <c r="H382" s="53"/>
      <c r="I382" s="15">
        <v>41681</v>
      </c>
      <c r="J382" s="55">
        <v>1.09E-2</v>
      </c>
      <c r="K382" s="55">
        <v>-1.9E-3</v>
      </c>
      <c r="L382" s="55">
        <v>2.5000000000000001E-3</v>
      </c>
      <c r="M382" s="55">
        <v>0</v>
      </c>
      <c r="N382" s="70">
        <f t="shared" si="36"/>
        <v>1.0390854870775347E-2</v>
      </c>
      <c r="O382" s="70">
        <f t="shared" si="32"/>
        <v>-1.8083499005964218E-3</v>
      </c>
      <c r="P382" s="70">
        <f t="shared" si="33"/>
        <v>2.7984095427435389E-3</v>
      </c>
      <c r="AI382" s="15">
        <v>41681</v>
      </c>
      <c r="AJ382" s="2">
        <v>74.489999999999995</v>
      </c>
      <c r="AK382" s="2">
        <v>35.46</v>
      </c>
      <c r="AL382" s="2">
        <v>172.43</v>
      </c>
      <c r="AM382" s="2">
        <v>82.179358285538612</v>
      </c>
      <c r="AN382" s="2">
        <v>45.682870903659477</v>
      </c>
    </row>
    <row r="383" spans="2:40" x14ac:dyDescent="0.35">
      <c r="B383" s="15">
        <v>41680</v>
      </c>
      <c r="C383" s="49" t="str">
        <f>$S$4</f>
        <v>AAPL</v>
      </c>
      <c r="D383" s="53">
        <f>CHOOSE($S$3,AJ383,AK383,AL383,AM383,AN383)</f>
        <v>73.52</v>
      </c>
      <c r="E383" s="55">
        <f t="shared" si="31"/>
        <v>1.7702005984676163E-2</v>
      </c>
      <c r="F383" s="55">
        <f t="shared" si="34"/>
        <v>1.7702005984676163E-2</v>
      </c>
      <c r="G383" s="70">
        <f t="shared" si="35"/>
        <v>1.6387016141793085E-2</v>
      </c>
      <c r="H383" s="53"/>
      <c r="I383" s="15">
        <v>41680</v>
      </c>
      <c r="J383" s="55">
        <v>1.6000000000000001E-3</v>
      </c>
      <c r="K383" s="55">
        <v>1.1999999999999999E-3</v>
      </c>
      <c r="L383" s="55">
        <v>-4.4000000000000003E-3</v>
      </c>
      <c r="M383" s="55">
        <v>0</v>
      </c>
      <c r="N383" s="70">
        <f t="shared" si="36"/>
        <v>1.0908548707753475E-3</v>
      </c>
      <c r="O383" s="70">
        <f t="shared" si="32"/>
        <v>1.2916500994035781E-3</v>
      </c>
      <c r="P383" s="70">
        <f t="shared" si="33"/>
        <v>-4.1015904572564614E-3</v>
      </c>
      <c r="AI383" s="15">
        <v>41680</v>
      </c>
      <c r="AJ383" s="2">
        <v>73.52</v>
      </c>
      <c r="AK383" s="2">
        <v>35.1</v>
      </c>
      <c r="AL383" s="2">
        <v>169.97</v>
      </c>
      <c r="AM383" s="2">
        <v>81.058080888866911</v>
      </c>
      <c r="AN383" s="2">
        <v>45.125107188800015</v>
      </c>
    </row>
    <row r="384" spans="2:40" x14ac:dyDescent="0.35">
      <c r="B384" s="15">
        <v>41677</v>
      </c>
      <c r="C384" s="49" t="str">
        <f>$S$4</f>
        <v>AAPL</v>
      </c>
      <c r="D384" s="53">
        <f>CHOOSE($S$3,AJ384,AK384,AL384,AM384,AN384)</f>
        <v>72.23</v>
      </c>
      <c r="E384" s="55">
        <f t="shared" si="31"/>
        <v>1.3941394072492926E-2</v>
      </c>
      <c r="F384" s="55">
        <f t="shared" si="34"/>
        <v>1.3941394072492926E-2</v>
      </c>
      <c r="G384" s="70">
        <f t="shared" si="35"/>
        <v>1.2626404229609849E-2</v>
      </c>
      <c r="H384" s="53"/>
      <c r="I384" s="15">
        <v>41677</v>
      </c>
      <c r="J384" s="55">
        <v>1.3300000000000001E-2</v>
      </c>
      <c r="K384" s="55">
        <v>-1.6000000000000001E-3</v>
      </c>
      <c r="L384" s="55">
        <v>-6.6E-3</v>
      </c>
      <c r="M384" s="55">
        <v>0</v>
      </c>
      <c r="N384" s="70">
        <f t="shared" si="36"/>
        <v>1.2790854870775348E-2</v>
      </c>
      <c r="O384" s="70">
        <f t="shared" si="32"/>
        <v>-1.5083499005964218E-3</v>
      </c>
      <c r="P384" s="70">
        <f t="shared" si="33"/>
        <v>-6.3015904572564611E-3</v>
      </c>
      <c r="AI384" s="15">
        <v>41677</v>
      </c>
      <c r="AJ384" s="2">
        <v>72.23</v>
      </c>
      <c r="AK384" s="2">
        <v>34.880000000000003</v>
      </c>
      <c r="AL384" s="2">
        <v>170.08</v>
      </c>
      <c r="AM384" s="2">
        <v>80.373177680277522</v>
      </c>
      <c r="AN384" s="2">
        <v>44.998291350149614</v>
      </c>
    </row>
    <row r="385" spans="2:40" x14ac:dyDescent="0.35">
      <c r="B385" s="15">
        <v>41676</v>
      </c>
      <c r="C385" s="49" t="str">
        <f>$S$4</f>
        <v>AAPL</v>
      </c>
      <c r="D385" s="53">
        <f>CHOOSE($S$3,AJ385,AK385,AL385,AM385,AN385)</f>
        <v>71.23</v>
      </c>
      <c r="E385" s="55">
        <f t="shared" si="31"/>
        <v>5.7726313065049016E-3</v>
      </c>
      <c r="F385" s="55">
        <f t="shared" si="34"/>
        <v>5.7726313065049016E-3</v>
      </c>
      <c r="G385" s="70">
        <f t="shared" si="35"/>
        <v>4.457641463621825E-3</v>
      </c>
      <c r="H385" s="53"/>
      <c r="I385" s="15">
        <v>41676</v>
      </c>
      <c r="J385" s="55">
        <v>1.21E-2</v>
      </c>
      <c r="K385" s="55">
        <v>-4.7999999999999996E-3</v>
      </c>
      <c r="L385" s="55">
        <v>2.3E-3</v>
      </c>
      <c r="M385" s="55">
        <v>0</v>
      </c>
      <c r="N385" s="70">
        <f t="shared" si="36"/>
        <v>1.1590854870775347E-2</v>
      </c>
      <c r="O385" s="70">
        <f t="shared" si="32"/>
        <v>-4.7083499005964209E-3</v>
      </c>
      <c r="P385" s="70">
        <f t="shared" si="33"/>
        <v>2.5984095427435388E-3</v>
      </c>
      <c r="AI385" s="15">
        <v>41676</v>
      </c>
      <c r="AJ385" s="2">
        <v>71.23</v>
      </c>
      <c r="AK385" s="2">
        <v>34.51</v>
      </c>
      <c r="AL385" s="2">
        <v>167.6</v>
      </c>
      <c r="AM385" s="2">
        <v>79.230832244973868</v>
      </c>
      <c r="AN385" s="2">
        <v>44.431556508066762</v>
      </c>
    </row>
    <row r="386" spans="2:40" x14ac:dyDescent="0.35">
      <c r="B386" s="15">
        <v>41675</v>
      </c>
      <c r="C386" s="49" t="str">
        <f>$S$4</f>
        <v>AAPL</v>
      </c>
      <c r="D386" s="53">
        <f>CHOOSE($S$3,AJ386,AK386,AL386,AM386,AN386)</f>
        <v>70.819999999999993</v>
      </c>
      <c r="E386" s="55">
        <f t="shared" si="31"/>
        <v>7.5119054959434817E-3</v>
      </c>
      <c r="F386" s="55">
        <f t="shared" si="34"/>
        <v>7.5119054959434817E-3</v>
      </c>
      <c r="G386" s="70">
        <f t="shared" si="35"/>
        <v>6.1969156530604051E-3</v>
      </c>
      <c r="H386" s="53"/>
      <c r="I386" s="15">
        <v>41675</v>
      </c>
      <c r="J386" s="55">
        <v>-2.3E-3</v>
      </c>
      <c r="K386" s="55">
        <v>-6.0000000000000001E-3</v>
      </c>
      <c r="L386" s="55">
        <v>2E-3</v>
      </c>
      <c r="M386" s="55">
        <v>0</v>
      </c>
      <c r="N386" s="70">
        <f t="shared" si="36"/>
        <v>-2.8091451292246526E-3</v>
      </c>
      <c r="O386" s="70">
        <f t="shared" si="32"/>
        <v>-5.9083499005964215E-3</v>
      </c>
      <c r="P386" s="70">
        <f t="shared" si="33"/>
        <v>2.2984095427435389E-3</v>
      </c>
      <c r="AI386" s="15">
        <v>41675</v>
      </c>
      <c r="AJ386" s="2">
        <v>70.819999999999993</v>
      </c>
      <c r="AK386" s="2">
        <v>34.17</v>
      </c>
      <c r="AL386" s="2">
        <v>166.28</v>
      </c>
      <c r="AM386" s="2">
        <v>78.690798985744109</v>
      </c>
      <c r="AN386" s="2">
        <v>44.037712708858507</v>
      </c>
    </row>
    <row r="387" spans="2:40" x14ac:dyDescent="0.35">
      <c r="B387" s="15">
        <v>41674</v>
      </c>
      <c r="C387" s="49" t="str">
        <f>$S$4</f>
        <v>AAPL</v>
      </c>
      <c r="D387" s="53">
        <f>CHOOSE($S$3,AJ387,AK387,AL387,AM387,AN387)</f>
        <v>70.290000000000006</v>
      </c>
      <c r="E387" s="55">
        <f t="shared" si="31"/>
        <v>1.4328945548524086E-2</v>
      </c>
      <c r="F387" s="55">
        <f t="shared" si="34"/>
        <v>1.4328945548524086E-2</v>
      </c>
      <c r="G387" s="70">
        <f t="shared" si="35"/>
        <v>1.301395570564101E-2</v>
      </c>
      <c r="H387" s="53"/>
      <c r="I387" s="15">
        <v>41674</v>
      </c>
      <c r="J387" s="55">
        <v>7.7000000000000002E-3</v>
      </c>
      <c r="K387" s="55">
        <v>-4.0000000000000002E-4</v>
      </c>
      <c r="L387" s="55">
        <v>-1E-3</v>
      </c>
      <c r="M387" s="55">
        <v>0</v>
      </c>
      <c r="N387" s="70">
        <f t="shared" si="36"/>
        <v>7.1908548707753477E-3</v>
      </c>
      <c r="O387" s="70">
        <f t="shared" si="32"/>
        <v>-3.0834990059642174E-4</v>
      </c>
      <c r="P387" s="70">
        <f t="shared" si="33"/>
        <v>-7.0159045725646119E-4</v>
      </c>
      <c r="AI387" s="15">
        <v>41674</v>
      </c>
      <c r="AJ387" s="2">
        <v>70.290000000000006</v>
      </c>
      <c r="AK387" s="2">
        <v>34.68</v>
      </c>
      <c r="AL387" s="2">
        <v>164.94</v>
      </c>
      <c r="AM387" s="2">
        <v>78.079274773542849</v>
      </c>
      <c r="AN387" s="2">
        <v>44.188909082455446</v>
      </c>
    </row>
    <row r="388" spans="2:40" x14ac:dyDescent="0.35">
      <c r="B388" s="15">
        <v>41673</v>
      </c>
      <c r="C388" s="49" t="str">
        <f>$S$4</f>
        <v>AAPL</v>
      </c>
      <c r="D388" s="53">
        <f>CHOOSE($S$3,AJ388,AK388,AL388,AM388,AN388)</f>
        <v>69.290000000000006</v>
      </c>
      <c r="E388" s="55">
        <f t="shared" si="31"/>
        <v>1.877934824200336E-3</v>
      </c>
      <c r="F388" s="55">
        <f t="shared" si="34"/>
        <v>1.877934824200336E-3</v>
      </c>
      <c r="G388" s="70">
        <f t="shared" si="35"/>
        <v>5.6294498131725891E-4</v>
      </c>
      <c r="H388" s="53"/>
      <c r="I388" s="15">
        <v>41673</v>
      </c>
      <c r="J388" s="55">
        <v>-2.4799999999999999E-2</v>
      </c>
      <c r="K388" s="55">
        <v>-8.8999999999999999E-3</v>
      </c>
      <c r="L388" s="55">
        <v>3.2000000000000002E-3</v>
      </c>
      <c r="M388" s="55">
        <v>0</v>
      </c>
      <c r="N388" s="70">
        <f t="shared" si="36"/>
        <v>-2.530914512922465E-2</v>
      </c>
      <c r="O388" s="70">
        <f t="shared" si="32"/>
        <v>-8.8083499005964221E-3</v>
      </c>
      <c r="P388" s="70">
        <f t="shared" si="33"/>
        <v>3.498409542743539E-3</v>
      </c>
      <c r="AI388" s="15">
        <v>41673</v>
      </c>
      <c r="AJ388" s="2">
        <v>69.290000000000006</v>
      </c>
      <c r="AK388" s="2">
        <v>34.799999999999997</v>
      </c>
      <c r="AL388" s="2">
        <v>165</v>
      </c>
      <c r="AM388" s="2">
        <v>77.538068040472922</v>
      </c>
      <c r="AN388" s="2">
        <v>44.273397752001529</v>
      </c>
    </row>
    <row r="389" spans="2:40" x14ac:dyDescent="0.35">
      <c r="B389" s="15">
        <v>41670</v>
      </c>
      <c r="C389" s="49" t="str">
        <f>$S$4</f>
        <v>AAPL</v>
      </c>
      <c r="D389" s="53">
        <f>CHOOSE($S$3,AJ389,AK389,AL389,AM389,AN389)</f>
        <v>69.16</v>
      </c>
      <c r="E389" s="55">
        <f t="shared" si="31"/>
        <v>1.5917809597886055E-3</v>
      </c>
      <c r="F389" s="55">
        <f t="shared" si="34"/>
        <v>1.5917809597886055E-3</v>
      </c>
      <c r="G389" s="70">
        <f t="shared" si="35"/>
        <v>2.7679111690552842E-4</v>
      </c>
      <c r="H389" s="53"/>
      <c r="I389" s="15">
        <v>41670</v>
      </c>
      <c r="J389" s="55">
        <v>-6.6E-3</v>
      </c>
      <c r="K389" s="55">
        <v>-5.9999999999999995E-4</v>
      </c>
      <c r="L389" s="55">
        <v>-3.9000000000000003E-3</v>
      </c>
      <c r="M389" s="55">
        <v>0</v>
      </c>
      <c r="N389" s="70">
        <f t="shared" si="36"/>
        <v>-7.1091451292246526E-3</v>
      </c>
      <c r="O389" s="70">
        <f t="shared" si="32"/>
        <v>-5.0834990059642161E-4</v>
      </c>
      <c r="P389" s="70">
        <f t="shared" si="33"/>
        <v>-3.6015904572564614E-3</v>
      </c>
      <c r="AI389" s="15">
        <v>41670</v>
      </c>
      <c r="AJ389" s="2">
        <v>69.16</v>
      </c>
      <c r="AK389" s="2">
        <v>36.1</v>
      </c>
      <c r="AL389" s="2">
        <v>168.6</v>
      </c>
      <c r="AM389" s="2">
        <v>78.311200473978985</v>
      </c>
      <c r="AN389" s="2">
        <v>45.583325920599151</v>
      </c>
    </row>
    <row r="390" spans="2:40" x14ac:dyDescent="0.35">
      <c r="B390" s="15">
        <v>41669</v>
      </c>
      <c r="C390" s="49" t="str">
        <f>$S$4</f>
        <v>AAPL</v>
      </c>
      <c r="D390" s="53">
        <f>CHOOSE($S$3,AJ390,AK390,AL390,AM390,AN390)</f>
        <v>69.05</v>
      </c>
      <c r="E390" s="55">
        <f t="shared" si="31"/>
        <v>-1.8809236537217029E-3</v>
      </c>
      <c r="F390" s="55">
        <f t="shared" si="34"/>
        <v>-1.8809236537217029E-3</v>
      </c>
      <c r="G390" s="70">
        <f t="shared" si="35"/>
        <v>-3.1959134966047797E-3</v>
      </c>
      <c r="H390" s="53"/>
      <c r="I390" s="15">
        <v>41669</v>
      </c>
      <c r="J390" s="55">
        <v>1.2199999999999999E-2</v>
      </c>
      <c r="K390" s="55">
        <v>3.0999999999999999E-3</v>
      </c>
      <c r="L390" s="55">
        <v>-4.1999999999999997E-3</v>
      </c>
      <c r="M390" s="55">
        <v>0</v>
      </c>
      <c r="N390" s="70">
        <f t="shared" si="36"/>
        <v>1.1690854870775346E-2</v>
      </c>
      <c r="O390" s="70">
        <f t="shared" si="32"/>
        <v>3.1916500994035781E-3</v>
      </c>
      <c r="P390" s="70">
        <f t="shared" si="33"/>
        <v>-3.9015904572564609E-3</v>
      </c>
      <c r="AI390" s="15">
        <v>41669</v>
      </c>
      <c r="AJ390" s="2">
        <v>69.05</v>
      </c>
      <c r="AK390" s="2">
        <v>35.159999999999997</v>
      </c>
      <c r="AL390" s="2">
        <v>169.25</v>
      </c>
      <c r="AM390" s="2">
        <v>78.399878668495063</v>
      </c>
      <c r="AN390" s="2">
        <v>45.077727010684896</v>
      </c>
    </row>
    <row r="391" spans="2:40" x14ac:dyDescent="0.35">
      <c r="B391" s="15">
        <v>41668</v>
      </c>
      <c r="C391" s="49" t="str">
        <f>$S$4</f>
        <v>AAPL</v>
      </c>
      <c r="D391" s="53">
        <f>CHOOSE($S$3,AJ391,AK391,AL391,AM391,AN391)</f>
        <v>69.180000000000007</v>
      </c>
      <c r="E391" s="55">
        <f t="shared" si="31"/>
        <v>-1.1497683430519315E-2</v>
      </c>
      <c r="F391" s="55">
        <f t="shared" si="34"/>
        <v>-1.1497683430519315E-2</v>
      </c>
      <c r="G391" s="70">
        <f t="shared" si="35"/>
        <v>-1.2812673273402391E-2</v>
      </c>
      <c r="H391" s="53"/>
      <c r="I391" s="15">
        <v>41668</v>
      </c>
      <c r="J391" s="55">
        <v>-1.0700000000000001E-2</v>
      </c>
      <c r="K391" s="55">
        <v>-4.0999999999999995E-3</v>
      </c>
      <c r="L391" s="55">
        <v>2.5000000000000001E-3</v>
      </c>
      <c r="M391" s="55">
        <v>0</v>
      </c>
      <c r="N391" s="70">
        <f t="shared" si="36"/>
        <v>-1.1209145129224654E-2</v>
      </c>
      <c r="O391" s="70">
        <f t="shared" si="32"/>
        <v>-4.0083499005964208E-3</v>
      </c>
      <c r="P391" s="70">
        <f t="shared" si="33"/>
        <v>2.7984095427435389E-3</v>
      </c>
      <c r="AI391" s="15">
        <v>41668</v>
      </c>
      <c r="AJ391" s="2">
        <v>69.180000000000007</v>
      </c>
      <c r="AK391" s="2">
        <v>34.97</v>
      </c>
      <c r="AL391" s="2">
        <v>168.34</v>
      </c>
      <c r="AM391" s="2">
        <v>78.262915333182832</v>
      </c>
      <c r="AN391" s="2">
        <v>44.83474612157454</v>
      </c>
    </row>
    <row r="392" spans="2:40" x14ac:dyDescent="0.35">
      <c r="B392" s="15">
        <v>41667</v>
      </c>
      <c r="C392" s="49" t="str">
        <f>$S$4</f>
        <v>AAPL</v>
      </c>
      <c r="D392" s="53">
        <f>CHOOSE($S$3,AJ392,AK392,AL392,AM392,AN392)</f>
        <v>69.98</v>
      </c>
      <c r="E392" s="55">
        <f t="shared" si="31"/>
        <v>-8.3313015560571621E-2</v>
      </c>
      <c r="F392" s="55">
        <f t="shared" si="34"/>
        <v>-8.3313015560571621E-2</v>
      </c>
      <c r="G392" s="70">
        <f t="shared" si="35"/>
        <v>-8.4628005403454692E-2</v>
      </c>
      <c r="H392" s="53"/>
      <c r="I392" s="15">
        <v>41667</v>
      </c>
      <c r="J392" s="55">
        <v>7.3000000000000001E-3</v>
      </c>
      <c r="K392" s="55">
        <v>1.9E-3</v>
      </c>
      <c r="L392" s="55">
        <v>-2.0000000000000001E-4</v>
      </c>
      <c r="M392" s="55">
        <v>0</v>
      </c>
      <c r="N392" s="70">
        <f t="shared" si="36"/>
        <v>6.7908548707753475E-3</v>
      </c>
      <c r="O392" s="70">
        <f t="shared" si="32"/>
        <v>1.9916500994035784E-3</v>
      </c>
      <c r="P392" s="70">
        <f t="shared" si="33"/>
        <v>9.8409542743538818E-5</v>
      </c>
      <c r="AI392" s="15">
        <v>41667</v>
      </c>
      <c r="AJ392" s="2">
        <v>69.98</v>
      </c>
      <c r="AK392" s="2">
        <v>34.6</v>
      </c>
      <c r="AL392" s="2">
        <v>168.77</v>
      </c>
      <c r="AM392" s="2">
        <v>78.815388518934441</v>
      </c>
      <c r="AN392" s="2">
        <v>44.654821073285177</v>
      </c>
    </row>
    <row r="393" spans="2:40" x14ac:dyDescent="0.35">
      <c r="B393" s="15">
        <v>41666</v>
      </c>
      <c r="C393" s="49" t="str">
        <f>$S$4</f>
        <v>AAPL</v>
      </c>
      <c r="D393" s="53">
        <f>CHOOSE($S$3,AJ393,AK393,AL393,AM393,AN393)</f>
        <v>76.06</v>
      </c>
      <c r="E393" s="55">
        <f t="shared" si="31"/>
        <v>8.184864174911665E-3</v>
      </c>
      <c r="F393" s="55">
        <f t="shared" si="34"/>
        <v>8.184864174911665E-3</v>
      </c>
      <c r="G393" s="70">
        <f t="shared" si="35"/>
        <v>6.8698743320285884E-3</v>
      </c>
      <c r="H393" s="53"/>
      <c r="I393" s="15">
        <v>41666</v>
      </c>
      <c r="J393" s="55">
        <v>-6.5000000000000006E-3</v>
      </c>
      <c r="K393" s="55">
        <v>-8.6E-3</v>
      </c>
      <c r="L393" s="55">
        <v>4.5999999999999999E-3</v>
      </c>
      <c r="M393" s="55">
        <v>0</v>
      </c>
      <c r="N393" s="70">
        <f t="shared" si="36"/>
        <v>-7.0091451292246532E-3</v>
      </c>
      <c r="O393" s="70">
        <f t="shared" si="32"/>
        <v>-8.5083499005964222E-3</v>
      </c>
      <c r="P393" s="70">
        <f t="shared" si="33"/>
        <v>4.8984095427435387E-3</v>
      </c>
      <c r="AI393" s="15">
        <v>41666</v>
      </c>
      <c r="AJ393" s="2">
        <v>76.06</v>
      </c>
      <c r="AK393" s="2">
        <v>34.369999999999997</v>
      </c>
      <c r="AL393" s="2">
        <v>169.77</v>
      </c>
      <c r="AM393" s="2">
        <v>82.472705885693316</v>
      </c>
      <c r="AN393" s="2">
        <v>44.638696771858079</v>
      </c>
    </row>
    <row r="394" spans="2:40" x14ac:dyDescent="0.35">
      <c r="B394" s="15">
        <v>41663</v>
      </c>
      <c r="C394" s="49" t="str">
        <f>$S$4</f>
        <v>AAPL</v>
      </c>
      <c r="D394" s="53">
        <f>CHOOSE($S$3,AJ394,AK394,AL394,AM394,AN394)</f>
        <v>75.44</v>
      </c>
      <c r="E394" s="55">
        <f t="shared" si="31"/>
        <v>-1.8387699575153887E-2</v>
      </c>
      <c r="F394" s="55">
        <f t="shared" si="34"/>
        <v>-1.8387699575153887E-2</v>
      </c>
      <c r="G394" s="70">
        <f t="shared" si="35"/>
        <v>-1.9702689418036965E-2</v>
      </c>
      <c r="H394" s="53"/>
      <c r="I394" s="15">
        <v>41663</v>
      </c>
      <c r="J394" s="55">
        <v>-2.1899999999999999E-2</v>
      </c>
      <c r="K394" s="55">
        <v>-3.9000000000000003E-3</v>
      </c>
      <c r="L394" s="55">
        <v>2.2000000000000001E-3</v>
      </c>
      <c r="M394" s="55">
        <v>0</v>
      </c>
      <c r="N394" s="70">
        <f t="shared" si="36"/>
        <v>-2.240914512922465E-2</v>
      </c>
      <c r="O394" s="70">
        <f t="shared" si="32"/>
        <v>-3.808349900596422E-3</v>
      </c>
      <c r="P394" s="70">
        <f t="shared" si="33"/>
        <v>2.498409542743539E-3</v>
      </c>
      <c r="AI394" s="15">
        <v>41663</v>
      </c>
      <c r="AJ394" s="2">
        <v>75.44</v>
      </c>
      <c r="AK394" s="2">
        <v>35.11</v>
      </c>
      <c r="AL394" s="2">
        <v>171.43</v>
      </c>
      <c r="AM394" s="2">
        <v>82.539775802592388</v>
      </c>
      <c r="AN394" s="2">
        <v>45.337478503532786</v>
      </c>
    </row>
    <row r="395" spans="2:40" x14ac:dyDescent="0.35">
      <c r="B395" s="15">
        <v>41662</v>
      </c>
      <c r="C395" s="49" t="str">
        <f>$S$4</f>
        <v>AAPL</v>
      </c>
      <c r="D395" s="53">
        <f>CHOOSE($S$3,AJ395,AK395,AL395,AM395,AN395)</f>
        <v>76.84</v>
      </c>
      <c r="E395" s="55">
        <f t="shared" si="31"/>
        <v>8.3638752077553093E-3</v>
      </c>
      <c r="F395" s="55">
        <f t="shared" si="34"/>
        <v>8.3638752077553093E-3</v>
      </c>
      <c r="G395" s="70">
        <f t="shared" si="35"/>
        <v>7.0488853648722326E-3</v>
      </c>
      <c r="H395" s="53"/>
      <c r="I395" s="15">
        <v>41662</v>
      </c>
      <c r="J395" s="55">
        <v>-8.6E-3</v>
      </c>
      <c r="K395" s="55">
        <v>1.5E-3</v>
      </c>
      <c r="L395" s="55">
        <v>-5.0000000000000001E-3</v>
      </c>
      <c r="M395" s="55">
        <v>0</v>
      </c>
      <c r="N395" s="70">
        <f t="shared" si="36"/>
        <v>-9.1091451292246526E-3</v>
      </c>
      <c r="O395" s="70">
        <f t="shared" si="32"/>
        <v>1.5916500994035783E-3</v>
      </c>
      <c r="P395" s="70">
        <f t="shared" si="33"/>
        <v>-4.7015904572564613E-3</v>
      </c>
      <c r="AI395" s="15">
        <v>41662</v>
      </c>
      <c r="AJ395" s="2">
        <v>76.84</v>
      </c>
      <c r="AK395" s="2">
        <v>34.4</v>
      </c>
      <c r="AL395" s="2">
        <v>174.38</v>
      </c>
      <c r="AM395" s="2">
        <v>84.015833961426523</v>
      </c>
      <c r="AN395" s="2">
        <v>45.269155626219415</v>
      </c>
    </row>
    <row r="396" spans="2:40" x14ac:dyDescent="0.35">
      <c r="B396" s="15">
        <v>41661</v>
      </c>
      <c r="C396" s="49" t="str">
        <f>$S$4</f>
        <v>AAPL</v>
      </c>
      <c r="D396" s="53">
        <f>CHOOSE($S$3,AJ396,AK396,AL396,AM396,AN396)</f>
        <v>76.2</v>
      </c>
      <c r="E396" s="55">
        <f t="shared" ref="E396:E459" si="37">LN(D396/D397)</f>
        <v>4.4719264318477028E-3</v>
      </c>
      <c r="F396" s="55">
        <f t="shared" si="34"/>
        <v>4.4719264318477028E-3</v>
      </c>
      <c r="G396" s="70">
        <f t="shared" si="35"/>
        <v>3.1569365889646257E-3</v>
      </c>
      <c r="H396" s="53"/>
      <c r="I396" s="15">
        <v>41661</v>
      </c>
      <c r="J396" s="55">
        <v>1.5E-3</v>
      </c>
      <c r="K396" s="55">
        <v>2.7000000000000001E-3</v>
      </c>
      <c r="L396" s="55">
        <v>2.0999999999999999E-3</v>
      </c>
      <c r="M396" s="55">
        <v>0</v>
      </c>
      <c r="N396" s="70">
        <f t="shared" si="36"/>
        <v>9.9085487077534744E-4</v>
      </c>
      <c r="O396" s="70">
        <f t="shared" ref="O396:O459" si="38">K396-K$10</f>
        <v>2.7916500994035784E-3</v>
      </c>
      <c r="P396" s="70">
        <f t="shared" ref="P396:P459" si="39">L396-L$10</f>
        <v>2.3984095427435387E-3</v>
      </c>
      <c r="AI396" s="15">
        <v>41661</v>
      </c>
      <c r="AJ396" s="2">
        <v>76.2</v>
      </c>
      <c r="AK396" s="2">
        <v>34.270000000000003</v>
      </c>
      <c r="AL396" s="2">
        <v>173.92</v>
      </c>
      <c r="AM396" s="2">
        <v>83.555136811286005</v>
      </c>
      <c r="AN396" s="2">
        <v>45.12390983555256</v>
      </c>
    </row>
    <row r="397" spans="2:40" x14ac:dyDescent="0.35">
      <c r="B397" s="15">
        <v>41660</v>
      </c>
      <c r="C397" s="49" t="str">
        <f>$S$4</f>
        <v>AAPL</v>
      </c>
      <c r="D397" s="53">
        <f>CHOOSE($S$3,AJ397,AK397,AL397,AM397,AN397)</f>
        <v>75.86</v>
      </c>
      <c r="E397" s="55">
        <f t="shared" si="37"/>
        <v>1.5409444121981315E-2</v>
      </c>
      <c r="F397" s="55">
        <f t="shared" ref="F397:F460" si="40">E397-M397</f>
        <v>1.5409444121981315E-2</v>
      </c>
      <c r="G397" s="70">
        <f t="shared" ref="G397:G460" si="41">F397-$F$10</f>
        <v>1.4094454279098239E-2</v>
      </c>
      <c r="H397" s="53"/>
      <c r="I397" s="15">
        <v>41660</v>
      </c>
      <c r="J397" s="55">
        <v>3.0000000000000001E-3</v>
      </c>
      <c r="K397" s="55">
        <v>4.5999999999999999E-3</v>
      </c>
      <c r="L397" s="55">
        <v>-1E-4</v>
      </c>
      <c r="M397" s="55">
        <v>0</v>
      </c>
      <c r="N397" s="70">
        <f t="shared" ref="N397:N460" si="42">J397-J$10</f>
        <v>2.4908548707753475E-3</v>
      </c>
      <c r="O397" s="70">
        <f t="shared" si="38"/>
        <v>4.6916500994035786E-3</v>
      </c>
      <c r="P397" s="70">
        <f t="shared" si="39"/>
        <v>1.9840954274353884E-4</v>
      </c>
      <c r="AI397" s="15">
        <v>41660</v>
      </c>
      <c r="AJ397" s="2">
        <v>75.86</v>
      </c>
      <c r="AK397" s="2">
        <v>34.5</v>
      </c>
      <c r="AL397" s="2">
        <v>179.82</v>
      </c>
      <c r="AM397" s="2">
        <v>84.785975031681758</v>
      </c>
      <c r="AN397" s="2">
        <v>46.040716057016603</v>
      </c>
    </row>
    <row r="398" spans="2:40" x14ac:dyDescent="0.35">
      <c r="B398" s="15">
        <v>41656</v>
      </c>
      <c r="C398" s="49" t="str">
        <f>$S$4</f>
        <v>AAPL</v>
      </c>
      <c r="D398" s="53">
        <f>CHOOSE($S$3,AJ398,AK398,AL398,AM398,AN398)</f>
        <v>74.7</v>
      </c>
      <c r="E398" s="55">
        <f t="shared" si="37"/>
        <v>-2.4725262986260346E-2</v>
      </c>
      <c r="F398" s="55">
        <f t="shared" si="40"/>
        <v>-2.4725262986260346E-2</v>
      </c>
      <c r="G398" s="70">
        <f t="shared" si="41"/>
        <v>-2.6040252829143424E-2</v>
      </c>
      <c r="H398" s="53"/>
      <c r="I398" s="15">
        <v>41656</v>
      </c>
      <c r="J398" s="55">
        <v>-3.9000000000000003E-3</v>
      </c>
      <c r="K398" s="55">
        <v>2.9999999999999997E-4</v>
      </c>
      <c r="L398" s="55">
        <v>4.0000000000000002E-4</v>
      </c>
      <c r="M398" s="55">
        <v>0</v>
      </c>
      <c r="N398" s="70">
        <f t="shared" si="42"/>
        <v>-4.4091451292246533E-3</v>
      </c>
      <c r="O398" s="70">
        <f t="shared" si="38"/>
        <v>3.9165009940357826E-4</v>
      </c>
      <c r="P398" s="70">
        <f t="shared" si="39"/>
        <v>6.9840954274353879E-4</v>
      </c>
      <c r="AI398" s="15">
        <v>41656</v>
      </c>
      <c r="AJ398" s="2">
        <v>74.7</v>
      </c>
      <c r="AK398" s="2">
        <v>34.700000000000003</v>
      </c>
      <c r="AL398" s="2">
        <v>181.4</v>
      </c>
      <c r="AM398" s="2">
        <v>84.510218746538584</v>
      </c>
      <c r="AN398" s="2">
        <v>46.376437264902634</v>
      </c>
    </row>
    <row r="399" spans="2:40" x14ac:dyDescent="0.35">
      <c r="B399" s="15">
        <v>41655</v>
      </c>
      <c r="C399" s="49" t="str">
        <f>$S$4</f>
        <v>AAPL</v>
      </c>
      <c r="D399" s="53">
        <f>CHOOSE($S$3,AJ399,AK399,AL399,AM399,AN399)</f>
        <v>76.569999999999993</v>
      </c>
      <c r="E399" s="55">
        <f t="shared" si="37"/>
        <v>-5.6000667286518835E-3</v>
      </c>
      <c r="F399" s="55">
        <f t="shared" si="40"/>
        <v>-5.6000667286518835E-3</v>
      </c>
      <c r="G399" s="70">
        <f t="shared" si="41"/>
        <v>-6.915056571534961E-3</v>
      </c>
      <c r="H399" s="53"/>
      <c r="I399" s="15">
        <v>41655</v>
      </c>
      <c r="J399" s="55">
        <v>-7.000000000000001E-4</v>
      </c>
      <c r="K399" s="55">
        <v>2.8999999999999998E-3</v>
      </c>
      <c r="L399" s="55">
        <v>-6.8000000000000005E-3</v>
      </c>
      <c r="M399" s="55">
        <v>0</v>
      </c>
      <c r="N399" s="70">
        <f t="shared" si="42"/>
        <v>-1.2091451292246527E-3</v>
      </c>
      <c r="O399" s="70">
        <f t="shared" si="38"/>
        <v>2.991650099403578E-3</v>
      </c>
      <c r="P399" s="70">
        <f t="shared" si="39"/>
        <v>-6.5015904572564617E-3</v>
      </c>
      <c r="AI399" s="15">
        <v>41655</v>
      </c>
      <c r="AJ399" s="2">
        <v>76.569999999999993</v>
      </c>
      <c r="AK399" s="2">
        <v>35.19</v>
      </c>
      <c r="AL399" s="2">
        <v>180.13</v>
      </c>
      <c r="AM399" s="2">
        <v>85.272178287772164</v>
      </c>
      <c r="AN399" s="2">
        <v>46.541535872665278</v>
      </c>
    </row>
    <row r="400" spans="2:40" x14ac:dyDescent="0.35">
      <c r="B400" s="15">
        <v>41654</v>
      </c>
      <c r="C400" s="49" t="str">
        <f>$S$4</f>
        <v>AAPL</v>
      </c>
      <c r="D400" s="53">
        <f>CHOOSE($S$3,AJ400,AK400,AL400,AM400,AN400)</f>
        <v>77</v>
      </c>
      <c r="E400" s="55">
        <f t="shared" si="37"/>
        <v>1.9805224702150504E-2</v>
      </c>
      <c r="F400" s="55">
        <f t="shared" si="40"/>
        <v>1.9805224702150504E-2</v>
      </c>
      <c r="G400" s="70">
        <f t="shared" si="41"/>
        <v>1.8490234859267426E-2</v>
      </c>
      <c r="H400" s="53"/>
      <c r="I400" s="15">
        <v>41654</v>
      </c>
      <c r="J400" s="55">
        <v>5.3E-3</v>
      </c>
      <c r="K400" s="55">
        <v>2.0999999999999999E-3</v>
      </c>
      <c r="L400" s="55">
        <v>2.0999999999999999E-3</v>
      </c>
      <c r="M400" s="55">
        <v>0</v>
      </c>
      <c r="N400" s="70">
        <f t="shared" si="42"/>
        <v>4.7908548707753474E-3</v>
      </c>
      <c r="O400" s="70">
        <f t="shared" si="38"/>
        <v>2.1916500994035781E-3</v>
      </c>
      <c r="P400" s="70">
        <f t="shared" si="39"/>
        <v>2.3984095427435387E-3</v>
      </c>
      <c r="AI400" s="15">
        <v>41654</v>
      </c>
      <c r="AJ400" s="2">
        <v>77</v>
      </c>
      <c r="AK400" s="2">
        <v>35.07</v>
      </c>
      <c r="AL400" s="2">
        <v>179.16</v>
      </c>
      <c r="AM400" s="2">
        <v>85.282017703355478</v>
      </c>
      <c r="AN400" s="2">
        <v>46.33686808641729</v>
      </c>
    </row>
    <row r="401" spans="2:40" x14ac:dyDescent="0.35">
      <c r="B401" s="15">
        <v>41653</v>
      </c>
      <c r="C401" s="49" t="str">
        <f>$S$4</f>
        <v>AAPL</v>
      </c>
      <c r="D401" s="53">
        <f>CHOOSE($S$3,AJ401,AK401,AL401,AM401,AN401)</f>
        <v>75.489999999999995</v>
      </c>
      <c r="E401" s="55">
        <f t="shared" si="37"/>
        <v>1.9664870193523476E-2</v>
      </c>
      <c r="F401" s="55">
        <f t="shared" si="40"/>
        <v>1.9664870193523476E-2</v>
      </c>
      <c r="G401" s="70">
        <f t="shared" si="41"/>
        <v>1.8349880350640398E-2</v>
      </c>
      <c r="H401" s="53"/>
      <c r="I401" s="15">
        <v>41653</v>
      </c>
      <c r="J401" s="55">
        <v>1.15E-2</v>
      </c>
      <c r="K401" s="55">
        <v>1.9E-3</v>
      </c>
      <c r="L401" s="55">
        <v>-3.8E-3</v>
      </c>
      <c r="M401" s="55">
        <v>0</v>
      </c>
      <c r="N401" s="70">
        <f t="shared" si="42"/>
        <v>1.0990854870775347E-2</v>
      </c>
      <c r="O401" s="70">
        <f t="shared" si="38"/>
        <v>1.9916500994035784E-3</v>
      </c>
      <c r="P401" s="70">
        <f t="shared" si="39"/>
        <v>-3.5015904572564612E-3</v>
      </c>
      <c r="AI401" s="15">
        <v>41653</v>
      </c>
      <c r="AJ401" s="2">
        <v>75.489999999999995</v>
      </c>
      <c r="AK401" s="2">
        <v>34.130000000000003</v>
      </c>
      <c r="AL401" s="2">
        <v>177.42</v>
      </c>
      <c r="AM401" s="2">
        <v>84.031681885396466</v>
      </c>
      <c r="AN401" s="2">
        <v>45.490860552305492</v>
      </c>
    </row>
    <row r="402" spans="2:40" x14ac:dyDescent="0.35">
      <c r="B402" s="15">
        <v>41652</v>
      </c>
      <c r="C402" s="49" t="str">
        <f>$S$4</f>
        <v>AAPL</v>
      </c>
      <c r="D402" s="53">
        <f>CHOOSE($S$3,AJ402,AK402,AL402,AM402,AN402)</f>
        <v>74.02</v>
      </c>
      <c r="E402" s="55">
        <f t="shared" si="37"/>
        <v>5.2827755773845065E-3</v>
      </c>
      <c r="F402" s="55">
        <f t="shared" si="40"/>
        <v>5.2827755773845065E-3</v>
      </c>
      <c r="G402" s="70">
        <f t="shared" si="41"/>
        <v>3.9677857345014299E-3</v>
      </c>
      <c r="H402" s="53"/>
      <c r="I402" s="15">
        <v>41652</v>
      </c>
      <c r="J402" s="55">
        <v>-1.32E-2</v>
      </c>
      <c r="K402" s="55">
        <v>-7.000000000000001E-4</v>
      </c>
      <c r="L402" s="55">
        <v>1E-3</v>
      </c>
      <c r="M402" s="55">
        <v>0</v>
      </c>
      <c r="N402" s="70">
        <f t="shared" si="42"/>
        <v>-1.3709145129224653E-2</v>
      </c>
      <c r="O402" s="70">
        <f t="shared" si="38"/>
        <v>-6.0834990059642176E-4</v>
      </c>
      <c r="P402" s="70">
        <f t="shared" si="39"/>
        <v>1.2984095427435388E-3</v>
      </c>
      <c r="AI402" s="15">
        <v>41652</v>
      </c>
      <c r="AJ402" s="2">
        <v>74.02</v>
      </c>
      <c r="AK402" s="2">
        <v>33.369999999999997</v>
      </c>
      <c r="AL402" s="2">
        <v>175.74</v>
      </c>
      <c r="AM402" s="2">
        <v>82.815666377701078</v>
      </c>
      <c r="AN402" s="2">
        <v>44.768992105472854</v>
      </c>
    </row>
    <row r="403" spans="2:40" x14ac:dyDescent="0.35">
      <c r="B403" s="15">
        <v>41649</v>
      </c>
      <c r="C403" s="49" t="str">
        <f>$S$4</f>
        <v>AAPL</v>
      </c>
      <c r="D403" s="53">
        <f>CHOOSE($S$3,AJ403,AK403,AL403,AM403,AN403)</f>
        <v>73.63</v>
      </c>
      <c r="E403" s="55">
        <f t="shared" si="37"/>
        <v>-6.6328500365336615E-3</v>
      </c>
      <c r="F403" s="55">
        <f t="shared" si="40"/>
        <v>-6.6328500365336615E-3</v>
      </c>
      <c r="G403" s="70">
        <f t="shared" si="41"/>
        <v>-7.947839879416739E-3</v>
      </c>
      <c r="H403" s="53"/>
      <c r="I403" s="15">
        <v>41649</v>
      </c>
      <c r="J403" s="55">
        <v>2.7000000000000001E-3</v>
      </c>
      <c r="K403" s="55">
        <v>5.3E-3</v>
      </c>
      <c r="L403" s="55">
        <v>-7.7000000000000002E-3</v>
      </c>
      <c r="M403" s="55">
        <v>0</v>
      </c>
      <c r="N403" s="70">
        <f t="shared" si="42"/>
        <v>2.1908548707753476E-3</v>
      </c>
      <c r="O403" s="70">
        <f t="shared" si="38"/>
        <v>5.3916500994035787E-3</v>
      </c>
      <c r="P403" s="70">
        <f t="shared" si="39"/>
        <v>-7.4015904572564614E-3</v>
      </c>
      <c r="AI403" s="15">
        <v>41649</v>
      </c>
      <c r="AJ403" s="2">
        <v>73.63</v>
      </c>
      <c r="AK403" s="2">
        <v>34.380000000000003</v>
      </c>
      <c r="AL403" s="2">
        <v>178.7</v>
      </c>
      <c r="AM403" s="2">
        <v>83.294929639391498</v>
      </c>
      <c r="AN403" s="2">
        <v>45.823520571442501</v>
      </c>
    </row>
    <row r="404" spans="2:40" x14ac:dyDescent="0.35">
      <c r="B404" s="15">
        <v>41648</v>
      </c>
      <c r="C404" s="49" t="str">
        <f>$S$4</f>
        <v>AAPL</v>
      </c>
      <c r="D404" s="53">
        <f>CHOOSE($S$3,AJ404,AK404,AL404,AM404,AN404)</f>
        <v>74.12</v>
      </c>
      <c r="E404" s="55">
        <f t="shared" si="37"/>
        <v>-1.2868810301148944E-2</v>
      </c>
      <c r="F404" s="55">
        <f t="shared" si="40"/>
        <v>-1.2868810301148944E-2</v>
      </c>
      <c r="G404" s="70">
        <f t="shared" si="41"/>
        <v>-1.4183800144032021E-2</v>
      </c>
      <c r="H404" s="53"/>
      <c r="I404" s="15">
        <v>41648</v>
      </c>
      <c r="J404" s="55">
        <v>2.0000000000000001E-4</v>
      </c>
      <c r="K404" s="55">
        <v>1.7000000000000001E-3</v>
      </c>
      <c r="L404" s="55">
        <v>-3.8E-3</v>
      </c>
      <c r="M404" s="55">
        <v>0</v>
      </c>
      <c r="N404" s="70">
        <f t="shared" si="42"/>
        <v>-3.0914512922465261E-4</v>
      </c>
      <c r="O404" s="70">
        <f t="shared" si="38"/>
        <v>1.7916500994035784E-3</v>
      </c>
      <c r="P404" s="70">
        <f t="shared" si="39"/>
        <v>-3.5015904572564612E-3</v>
      </c>
      <c r="AI404" s="15">
        <v>41648</v>
      </c>
      <c r="AJ404" s="2">
        <v>74.12</v>
      </c>
      <c r="AK404" s="2">
        <v>33.89</v>
      </c>
      <c r="AL404" s="2">
        <v>178.82</v>
      </c>
      <c r="AM404" s="2">
        <v>83.600056150831307</v>
      </c>
      <c r="AN404" s="2">
        <v>45.512356966337727</v>
      </c>
    </row>
    <row r="405" spans="2:40" x14ac:dyDescent="0.35">
      <c r="B405" s="15">
        <v>41647</v>
      </c>
      <c r="C405" s="49" t="str">
        <f>$S$4</f>
        <v>AAPL</v>
      </c>
      <c r="D405" s="53">
        <f>CHOOSE($S$3,AJ405,AK405,AL405,AM405,AN405)</f>
        <v>75.08</v>
      </c>
      <c r="E405" s="55">
        <f t="shared" si="37"/>
        <v>6.2796652348850552E-3</v>
      </c>
      <c r="F405" s="55">
        <f t="shared" si="40"/>
        <v>6.2796652348850552E-3</v>
      </c>
      <c r="G405" s="70">
        <f t="shared" si="41"/>
        <v>4.9646753920019777E-3</v>
      </c>
      <c r="H405" s="53"/>
      <c r="I405" s="15">
        <v>41647</v>
      </c>
      <c r="J405" s="55">
        <v>4.0000000000000002E-4</v>
      </c>
      <c r="K405" s="55">
        <v>1E-4</v>
      </c>
      <c r="L405" s="55">
        <v>-1.1000000000000001E-3</v>
      </c>
      <c r="M405" s="55">
        <v>0</v>
      </c>
      <c r="N405" s="70">
        <f t="shared" si="42"/>
        <v>-1.0914512922465257E-4</v>
      </c>
      <c r="O405" s="70">
        <f t="shared" si="38"/>
        <v>1.9165009940357833E-4</v>
      </c>
      <c r="P405" s="70">
        <f t="shared" si="39"/>
        <v>-8.0159045725646124E-4</v>
      </c>
      <c r="AI405" s="15">
        <v>41647</v>
      </c>
      <c r="AJ405" s="2">
        <v>75.08</v>
      </c>
      <c r="AK405" s="2">
        <v>34.11</v>
      </c>
      <c r="AL405" s="2">
        <v>179.38</v>
      </c>
      <c r="AM405" s="2">
        <v>84.272351522740195</v>
      </c>
      <c r="AN405" s="2">
        <v>45.731344933012444</v>
      </c>
    </row>
    <row r="406" spans="2:40" x14ac:dyDescent="0.35">
      <c r="B406" s="15">
        <v>41646</v>
      </c>
      <c r="C406" s="49" t="str">
        <f>$S$4</f>
        <v>AAPL</v>
      </c>
      <c r="D406" s="53">
        <f>CHOOSE($S$3,AJ406,AK406,AL406,AM406,AN406)</f>
        <v>74.61</v>
      </c>
      <c r="E406" s="55">
        <f t="shared" si="37"/>
        <v>-7.2115697155605866E-3</v>
      </c>
      <c r="F406" s="55">
        <f t="shared" si="40"/>
        <v>-7.2115697155605866E-3</v>
      </c>
      <c r="G406" s="70">
        <f t="shared" si="41"/>
        <v>-8.5265595584436641E-3</v>
      </c>
      <c r="H406" s="53"/>
      <c r="I406" s="15">
        <v>41646</v>
      </c>
      <c r="J406" s="55">
        <v>6.8000000000000005E-3</v>
      </c>
      <c r="K406" s="55">
        <v>4.0000000000000001E-3</v>
      </c>
      <c r="L406" s="55">
        <v>-4.0999999999999995E-3</v>
      </c>
      <c r="M406" s="55">
        <v>0</v>
      </c>
      <c r="N406" s="70">
        <f t="shared" si="42"/>
        <v>6.2908548707753479E-3</v>
      </c>
      <c r="O406" s="70">
        <f t="shared" si="38"/>
        <v>4.0916500994035787E-3</v>
      </c>
      <c r="P406" s="70">
        <f t="shared" si="39"/>
        <v>-3.8015904572564607E-3</v>
      </c>
      <c r="AI406" s="15">
        <v>41646</v>
      </c>
      <c r="AJ406" s="2">
        <v>74.61</v>
      </c>
      <c r="AK406" s="2">
        <v>34.729999999999997</v>
      </c>
      <c r="AL406" s="2">
        <v>181.04</v>
      </c>
      <c r="AM406" s="2">
        <v>84.398511787977228</v>
      </c>
      <c r="AN406" s="2">
        <v>46.358563711595004</v>
      </c>
    </row>
    <row r="407" spans="2:40" x14ac:dyDescent="0.35">
      <c r="B407" s="15">
        <v>41645</v>
      </c>
      <c r="C407" s="49" t="str">
        <f>$S$4</f>
        <v>AAPL</v>
      </c>
      <c r="D407" s="53">
        <f>CHOOSE($S$3,AJ407,AK407,AL407,AM407,AN407)</f>
        <v>75.150000000000006</v>
      </c>
      <c r="E407" s="55">
        <f t="shared" si="37"/>
        <v>5.4706921416457248E-3</v>
      </c>
      <c r="F407" s="55">
        <f t="shared" si="40"/>
        <v>5.4706921416457248E-3</v>
      </c>
      <c r="G407" s="70">
        <f t="shared" si="41"/>
        <v>4.1557022987626473E-3</v>
      </c>
      <c r="H407" s="53"/>
      <c r="I407" s="15">
        <v>41645</v>
      </c>
      <c r="J407" s="55">
        <v>-3.4000000000000002E-3</v>
      </c>
      <c r="K407" s="55">
        <v>-5.6999999999999993E-3</v>
      </c>
      <c r="L407" s="55">
        <v>2.5999999999999999E-3</v>
      </c>
      <c r="M407" s="55">
        <v>0</v>
      </c>
      <c r="N407" s="70">
        <f t="shared" si="42"/>
        <v>-3.9091451292246528E-3</v>
      </c>
      <c r="O407" s="70">
        <f t="shared" si="38"/>
        <v>-5.6083499005964207E-3</v>
      </c>
      <c r="P407" s="70">
        <f t="shared" si="39"/>
        <v>2.8984095427435387E-3</v>
      </c>
      <c r="AI407" s="15">
        <v>41645</v>
      </c>
      <c r="AJ407" s="2">
        <v>75.150000000000006</v>
      </c>
      <c r="AK407" s="2">
        <v>34.47</v>
      </c>
      <c r="AL407" s="2">
        <v>177.5</v>
      </c>
      <c r="AM407" s="2">
        <v>83.878783469970841</v>
      </c>
      <c r="AN407" s="2">
        <v>45.731795632222671</v>
      </c>
    </row>
    <row r="408" spans="2:40" x14ac:dyDescent="0.35">
      <c r="B408" s="15">
        <v>41642</v>
      </c>
      <c r="C408" s="49" t="str">
        <f>$S$4</f>
        <v>AAPL</v>
      </c>
      <c r="D408" s="53">
        <f>CHOOSE($S$3,AJ408,AK408,AL408,AM408,AN408)</f>
        <v>74.739999999999995</v>
      </c>
      <c r="E408" s="55">
        <f t="shared" si="37"/>
        <v>-2.2229017961416121E-2</v>
      </c>
      <c r="F408" s="55">
        <f t="shared" si="40"/>
        <v>-2.2229017961416121E-2</v>
      </c>
      <c r="G408" s="70">
        <f t="shared" si="41"/>
        <v>-2.3544007804299199E-2</v>
      </c>
      <c r="H408" s="53"/>
      <c r="I408" s="15">
        <v>41642</v>
      </c>
      <c r="J408" s="55">
        <v>2.9999999999999997E-4</v>
      </c>
      <c r="K408" s="55">
        <v>3.5999999999999999E-3</v>
      </c>
      <c r="L408" s="55">
        <v>5.0000000000000001E-4</v>
      </c>
      <c r="M408" s="55">
        <v>0</v>
      </c>
      <c r="N408" s="70">
        <f t="shared" si="42"/>
        <v>-2.0914512922465262E-4</v>
      </c>
      <c r="O408" s="70">
        <f t="shared" si="38"/>
        <v>3.6916500994035781E-3</v>
      </c>
      <c r="P408" s="70">
        <f t="shared" si="39"/>
        <v>7.9840954274353884E-4</v>
      </c>
      <c r="AI408" s="15">
        <v>41642</v>
      </c>
      <c r="AJ408" s="2">
        <v>74.739999999999995</v>
      </c>
      <c r="AK408" s="2">
        <v>35.21</v>
      </c>
      <c r="AL408" s="2">
        <v>178.11</v>
      </c>
      <c r="AM408" s="2">
        <v>83.794102157868721</v>
      </c>
      <c r="AN408" s="2">
        <v>46.30126082167196</v>
      </c>
    </row>
    <row r="409" spans="2:40" x14ac:dyDescent="0.35">
      <c r="B409" s="15">
        <v>41641</v>
      </c>
      <c r="C409" s="49" t="str">
        <f>$S$4</f>
        <v>AAPL</v>
      </c>
      <c r="D409" s="53">
        <f>CHOOSE($S$3,AJ409,AK409,AL409,AM409,AN409)</f>
        <v>76.42</v>
      </c>
      <c r="E409" s="55">
        <f t="shared" si="37"/>
        <v>-1.4162518274666188E-2</v>
      </c>
      <c r="F409" s="55">
        <f t="shared" si="40"/>
        <v>-1.4162518274666188E-2</v>
      </c>
      <c r="G409" s="70">
        <f t="shared" si="41"/>
        <v>-1.5477508117549265E-2</v>
      </c>
      <c r="H409" s="53"/>
      <c r="I409" s="15">
        <v>41641</v>
      </c>
      <c r="J409" s="55">
        <v>-8.8000000000000005E-3</v>
      </c>
      <c r="K409" s="55">
        <v>-2.7000000000000001E-3</v>
      </c>
      <c r="L409" s="55">
        <v>1.1000000000000001E-3</v>
      </c>
      <c r="M409" s="55">
        <v>0</v>
      </c>
      <c r="N409" s="70">
        <f t="shared" si="42"/>
        <v>-9.3091451292246531E-3</v>
      </c>
      <c r="O409" s="70">
        <f t="shared" si="38"/>
        <v>-2.6083499005964219E-3</v>
      </c>
      <c r="P409" s="70">
        <f t="shared" si="39"/>
        <v>1.3984095427435389E-3</v>
      </c>
      <c r="AI409" s="15">
        <v>41641</v>
      </c>
      <c r="AJ409" s="2">
        <v>76.42</v>
      </c>
      <c r="AK409" s="2">
        <v>35.450000000000003</v>
      </c>
      <c r="AL409" s="2">
        <v>177.05</v>
      </c>
      <c r="AM409" s="2">
        <v>84.486515662347188</v>
      </c>
      <c r="AN409" s="2">
        <v>46.321283038479365</v>
      </c>
    </row>
    <row r="410" spans="2:40" x14ac:dyDescent="0.35">
      <c r="B410" s="15">
        <v>41639</v>
      </c>
      <c r="C410" s="49" t="str">
        <f>$S$4</f>
        <v>AAPL</v>
      </c>
      <c r="D410" s="53">
        <f>CHOOSE($S$3,AJ410,AK410,AL410,AM410,AN410)</f>
        <v>77.510000000000005</v>
      </c>
      <c r="E410" s="55">
        <f t="shared" si="37"/>
        <v>1.167934376469054E-2</v>
      </c>
      <c r="F410" s="55">
        <f t="shared" si="40"/>
        <v>1.167934376469054E-2</v>
      </c>
      <c r="G410" s="70">
        <f t="shared" si="41"/>
        <v>1.0364353921807463E-2</v>
      </c>
      <c r="H410" s="53"/>
      <c r="I410" s="15">
        <v>41639</v>
      </c>
      <c r="J410" s="55">
        <v>4.4000000000000003E-3</v>
      </c>
      <c r="K410" s="55">
        <v>-1.7000000000000001E-3</v>
      </c>
      <c r="L410" s="55">
        <v>4.0000000000000002E-4</v>
      </c>
      <c r="M410" s="55">
        <v>0</v>
      </c>
      <c r="N410" s="70">
        <f t="shared" si="42"/>
        <v>3.8908548707753477E-3</v>
      </c>
      <c r="O410" s="70">
        <f t="shared" si="38"/>
        <v>-1.6083499005964219E-3</v>
      </c>
      <c r="P410" s="70">
        <f t="shared" si="39"/>
        <v>6.9840954274353879E-4</v>
      </c>
      <c r="AI410" s="15">
        <v>41639</v>
      </c>
      <c r="AJ410" s="2">
        <v>77.510000000000005</v>
      </c>
      <c r="AK410" s="2">
        <v>35.69</v>
      </c>
      <c r="AL410" s="2">
        <v>179</v>
      </c>
      <c r="AM410" s="2">
        <v>85.554303549694865</v>
      </c>
      <c r="AN410" s="2">
        <v>46.73317041955621</v>
      </c>
    </row>
    <row r="411" spans="2:40" x14ac:dyDescent="0.35">
      <c r="B411" s="15">
        <v>41638</v>
      </c>
      <c r="C411" s="49" t="str">
        <f>$S$4</f>
        <v>AAPL</v>
      </c>
      <c r="D411" s="53">
        <f>CHOOSE($S$3,AJ411,AK411,AL411,AM411,AN411)</f>
        <v>76.61</v>
      </c>
      <c r="E411" s="55">
        <f t="shared" si="37"/>
        <v>-1.0000732743637299E-2</v>
      </c>
      <c r="F411" s="55">
        <f t="shared" si="40"/>
        <v>-1.0000732743637299E-2</v>
      </c>
      <c r="G411" s="70">
        <f t="shared" si="41"/>
        <v>-1.1315722586520376E-2</v>
      </c>
      <c r="H411" s="53"/>
      <c r="I411" s="15">
        <v>41638</v>
      </c>
      <c r="J411" s="55">
        <v>0</v>
      </c>
      <c r="K411" s="55">
        <v>2.0000000000000001E-4</v>
      </c>
      <c r="L411" s="55">
        <v>-3.0000000000000001E-3</v>
      </c>
      <c r="M411" s="55">
        <v>0</v>
      </c>
      <c r="N411" s="70">
        <f t="shared" si="42"/>
        <v>-5.0914512922465259E-4</v>
      </c>
      <c r="O411" s="70">
        <f t="shared" si="38"/>
        <v>2.9165009940357832E-4</v>
      </c>
      <c r="P411" s="70">
        <f t="shared" si="39"/>
        <v>-2.7015904572564612E-3</v>
      </c>
      <c r="AI411" s="15">
        <v>41638</v>
      </c>
      <c r="AJ411" s="2">
        <v>76.61</v>
      </c>
      <c r="AK411" s="2">
        <v>35.57</v>
      </c>
      <c r="AL411" s="2">
        <v>177.89</v>
      </c>
      <c r="AM411" s="2">
        <v>84.792334579841707</v>
      </c>
      <c r="AN411" s="2">
        <v>46.509706332731881</v>
      </c>
    </row>
    <row r="412" spans="2:40" x14ac:dyDescent="0.35">
      <c r="B412" s="15">
        <v>41635</v>
      </c>
      <c r="C412" s="49" t="str">
        <f>$S$4</f>
        <v>AAPL</v>
      </c>
      <c r="D412" s="53">
        <f>CHOOSE($S$3,AJ412,AK412,AL412,AM412,AN412)</f>
        <v>77.38</v>
      </c>
      <c r="E412" s="55">
        <f t="shared" si="37"/>
        <v>-6.8259650703998706E-3</v>
      </c>
      <c r="F412" s="55">
        <f t="shared" si="40"/>
        <v>-6.8259650703998706E-3</v>
      </c>
      <c r="G412" s="70">
        <f t="shared" si="41"/>
        <v>-8.1409549132829481E-3</v>
      </c>
      <c r="H412" s="53"/>
      <c r="I412" s="15">
        <v>41635</v>
      </c>
      <c r="J412" s="55">
        <v>-5.0000000000000001E-4</v>
      </c>
      <c r="K412" s="55">
        <v>-7.000000000000001E-4</v>
      </c>
      <c r="L412" s="55">
        <v>2.3E-3</v>
      </c>
      <c r="M412" s="55">
        <v>0</v>
      </c>
      <c r="N412" s="70">
        <f t="shared" si="42"/>
        <v>-1.0091451292246526E-3</v>
      </c>
      <c r="O412" s="70">
        <f t="shared" si="38"/>
        <v>-6.0834990059642176E-4</v>
      </c>
      <c r="P412" s="70">
        <f t="shared" si="39"/>
        <v>2.5984095427435388E-3</v>
      </c>
      <c r="AI412" s="15">
        <v>41635</v>
      </c>
      <c r="AJ412" s="2">
        <v>77.38</v>
      </c>
      <c r="AK412" s="2">
        <v>35.57</v>
      </c>
      <c r="AL412" s="2">
        <v>176.62</v>
      </c>
      <c r="AM412" s="2">
        <v>84.915777967079052</v>
      </c>
      <c r="AN412" s="2">
        <v>46.343684276847434</v>
      </c>
    </row>
    <row r="413" spans="2:40" x14ac:dyDescent="0.35">
      <c r="B413" s="15">
        <v>41634</v>
      </c>
      <c r="C413" s="49" t="str">
        <f>$S$4</f>
        <v>AAPL</v>
      </c>
      <c r="D413" s="53">
        <f>CHOOSE($S$3,AJ413,AK413,AL413,AM413,AN413)</f>
        <v>77.91</v>
      </c>
      <c r="E413" s="55">
        <f t="shared" si="37"/>
        <v>-6.6521928818084365E-3</v>
      </c>
      <c r="F413" s="55">
        <f t="shared" si="40"/>
        <v>-6.6521928818084365E-3</v>
      </c>
      <c r="G413" s="70">
        <f t="shared" si="41"/>
        <v>-7.9671827246915131E-3</v>
      </c>
      <c r="H413" s="53"/>
      <c r="I413" s="15">
        <v>41634</v>
      </c>
      <c r="J413" s="55">
        <v>4.4000000000000003E-3</v>
      </c>
      <c r="K413" s="55">
        <v>-3.2000000000000002E-3</v>
      </c>
      <c r="L413" s="55">
        <v>-3.0999999999999999E-3</v>
      </c>
      <c r="M413" s="55">
        <v>0</v>
      </c>
      <c r="N413" s="70">
        <f t="shared" si="42"/>
        <v>3.8908548707753477E-3</v>
      </c>
      <c r="O413" s="70">
        <f t="shared" si="38"/>
        <v>-3.1083499005964219E-3</v>
      </c>
      <c r="P413" s="70">
        <f t="shared" si="39"/>
        <v>-2.8015904572564611E-3</v>
      </c>
      <c r="AI413" s="15">
        <v>41634</v>
      </c>
      <c r="AJ413" s="2">
        <v>77.91</v>
      </c>
      <c r="AK413" s="2">
        <v>35.72</v>
      </c>
      <c r="AL413" s="2">
        <v>176.88</v>
      </c>
      <c r="AM413" s="2">
        <v>85.269087130862616</v>
      </c>
      <c r="AN413" s="2">
        <v>46.47551175533475</v>
      </c>
    </row>
    <row r="414" spans="2:40" x14ac:dyDescent="0.35">
      <c r="B414" s="15">
        <v>41632</v>
      </c>
      <c r="C414" s="49" t="str">
        <f>$S$4</f>
        <v>AAPL</v>
      </c>
      <c r="D414" s="53">
        <f>CHOOSE($S$3,AJ414,AK414,AL414,AM414,AN414)</f>
        <v>78.430000000000007</v>
      </c>
      <c r="E414" s="55">
        <f t="shared" si="37"/>
        <v>-4.1987465463496042E-3</v>
      </c>
      <c r="F414" s="55">
        <f t="shared" si="40"/>
        <v>-4.1987465463496042E-3</v>
      </c>
      <c r="G414" s="70">
        <f t="shared" si="41"/>
        <v>-5.5137363892326808E-3</v>
      </c>
      <c r="H414" s="53"/>
      <c r="I414" s="15">
        <v>41632</v>
      </c>
      <c r="J414" s="55">
        <v>3.4000000000000002E-3</v>
      </c>
      <c r="K414" s="55">
        <v>1E-3</v>
      </c>
      <c r="L414" s="55">
        <v>1.1000000000000001E-3</v>
      </c>
      <c r="M414" s="55">
        <v>0</v>
      </c>
      <c r="N414" s="70">
        <f t="shared" si="42"/>
        <v>2.8908548707753477E-3</v>
      </c>
      <c r="O414" s="70">
        <f t="shared" si="38"/>
        <v>1.0916500994035782E-3</v>
      </c>
      <c r="P414" s="70">
        <f t="shared" si="39"/>
        <v>1.3984095427435389E-3</v>
      </c>
      <c r="AI414" s="15">
        <v>41632</v>
      </c>
      <c r="AJ414" s="2">
        <v>78.430000000000007</v>
      </c>
      <c r="AK414" s="2">
        <v>35.369999999999997</v>
      </c>
      <c r="AL414" s="2">
        <v>174.85</v>
      </c>
      <c r="AM414" s="2">
        <v>85.064341577727461</v>
      </c>
      <c r="AN414" s="2">
        <v>45.981125254510566</v>
      </c>
    </row>
    <row r="415" spans="2:40" x14ac:dyDescent="0.35">
      <c r="B415" s="15">
        <v>41631</v>
      </c>
      <c r="C415" s="49" t="str">
        <f>$S$4</f>
        <v>AAPL</v>
      </c>
      <c r="D415" s="53">
        <f>CHOOSE($S$3,AJ415,AK415,AL415,AM415,AN415)</f>
        <v>78.760000000000005</v>
      </c>
      <c r="E415" s="55">
        <f t="shared" si="37"/>
        <v>3.7647547976383748E-2</v>
      </c>
      <c r="F415" s="55">
        <f t="shared" si="40"/>
        <v>3.7647547976383748E-2</v>
      </c>
      <c r="G415" s="70">
        <f t="shared" si="41"/>
        <v>3.633255813350067E-2</v>
      </c>
      <c r="H415" s="53"/>
      <c r="I415" s="15">
        <v>41631</v>
      </c>
      <c r="J415" s="55">
        <v>6.1999999999999998E-3</v>
      </c>
      <c r="K415" s="55">
        <v>5.0000000000000001E-3</v>
      </c>
      <c r="L415" s="55">
        <v>-5.0000000000000001E-4</v>
      </c>
      <c r="M415" s="55">
        <v>0</v>
      </c>
      <c r="N415" s="70">
        <f t="shared" si="42"/>
        <v>5.6908548707753472E-3</v>
      </c>
      <c r="O415" s="70">
        <f t="shared" si="38"/>
        <v>5.0916500994035788E-3</v>
      </c>
      <c r="P415" s="70">
        <f t="shared" si="39"/>
        <v>-2.0159045725646118E-4</v>
      </c>
      <c r="AI415" s="15">
        <v>41631</v>
      </c>
      <c r="AJ415" s="2">
        <v>78.760000000000005</v>
      </c>
      <c r="AK415" s="2">
        <v>34.93</v>
      </c>
      <c r="AL415" s="2">
        <v>173.9</v>
      </c>
      <c r="AM415" s="2">
        <v>85.012211816360875</v>
      </c>
      <c r="AN415" s="2">
        <v>45.570211495759082</v>
      </c>
    </row>
    <row r="416" spans="2:40" x14ac:dyDescent="0.35">
      <c r="B416" s="15">
        <v>41628</v>
      </c>
      <c r="C416" s="49" t="str">
        <f>$S$4</f>
        <v>AAPL</v>
      </c>
      <c r="D416" s="53">
        <f>CHOOSE($S$3,AJ416,AK416,AL416,AM416,AN416)</f>
        <v>75.849999999999994</v>
      </c>
      <c r="E416" s="55">
        <f t="shared" si="37"/>
        <v>8.3405527523509482E-3</v>
      </c>
      <c r="F416" s="55">
        <f t="shared" si="40"/>
        <v>8.3405527523509482E-3</v>
      </c>
      <c r="G416" s="70">
        <f t="shared" si="41"/>
        <v>7.0255629094678716E-3</v>
      </c>
      <c r="H416" s="53"/>
      <c r="I416" s="15">
        <v>41628</v>
      </c>
      <c r="J416" s="55">
        <v>6.8999999999999999E-3</v>
      </c>
      <c r="K416" s="55">
        <v>1.29E-2</v>
      </c>
      <c r="L416" s="55">
        <v>-3.0000000000000001E-3</v>
      </c>
      <c r="M416" s="55">
        <v>0</v>
      </c>
      <c r="N416" s="70">
        <f t="shared" si="42"/>
        <v>6.3908548707753473E-3</v>
      </c>
      <c r="O416" s="70">
        <f t="shared" si="38"/>
        <v>1.2991650099403578E-2</v>
      </c>
      <c r="P416" s="70">
        <f t="shared" si="39"/>
        <v>-2.7015904572564612E-3</v>
      </c>
      <c r="AI416" s="15">
        <v>41628</v>
      </c>
      <c r="AJ416" s="2">
        <v>75.849999999999994</v>
      </c>
      <c r="AK416" s="2">
        <v>35.1</v>
      </c>
      <c r="AL416" s="2">
        <v>171.79</v>
      </c>
      <c r="AM416" s="2">
        <v>82.925965416182578</v>
      </c>
      <c r="AN416" s="2">
        <v>45.404642763924691</v>
      </c>
    </row>
    <row r="417" spans="2:40" x14ac:dyDescent="0.35">
      <c r="B417" s="15">
        <v>41627</v>
      </c>
      <c r="C417" s="49" t="str">
        <f>$S$4</f>
        <v>AAPL</v>
      </c>
      <c r="D417" s="53">
        <f>CHOOSE($S$3,AJ417,AK417,AL417,AM417,AN417)</f>
        <v>75.22</v>
      </c>
      <c r="E417" s="55">
        <f t="shared" si="37"/>
        <v>-1.1499697146241147E-2</v>
      </c>
      <c r="F417" s="55">
        <f t="shared" si="40"/>
        <v>-1.1499697146241147E-2</v>
      </c>
      <c r="G417" s="70">
        <f t="shared" si="41"/>
        <v>-1.2814686989124224E-2</v>
      </c>
      <c r="H417" s="53"/>
      <c r="I417" s="15">
        <v>41627</v>
      </c>
      <c r="J417" s="55">
        <v>-1E-3</v>
      </c>
      <c r="K417" s="55">
        <v>-5.4000000000000003E-3</v>
      </c>
      <c r="L417" s="55">
        <v>1.6000000000000001E-3</v>
      </c>
      <c r="M417" s="55">
        <v>0</v>
      </c>
      <c r="N417" s="70">
        <f t="shared" si="42"/>
        <v>-1.5091451292246526E-3</v>
      </c>
      <c r="O417" s="70">
        <f t="shared" si="38"/>
        <v>-5.3083499005964216E-3</v>
      </c>
      <c r="P417" s="70">
        <f t="shared" si="39"/>
        <v>1.8984095427435389E-3</v>
      </c>
      <c r="AI417" s="15">
        <v>41627</v>
      </c>
      <c r="AJ417" s="2">
        <v>75.22</v>
      </c>
      <c r="AK417" s="2">
        <v>34.58</v>
      </c>
      <c r="AL417" s="2">
        <v>171.98</v>
      </c>
      <c r="AM417" s="2">
        <v>82.627437524546636</v>
      </c>
      <c r="AN417" s="2">
        <v>45.093420878592376</v>
      </c>
    </row>
    <row r="418" spans="2:40" x14ac:dyDescent="0.35">
      <c r="B418" s="15">
        <v>41626</v>
      </c>
      <c r="C418" s="49" t="str">
        <f>$S$4</f>
        <v>AAPL</v>
      </c>
      <c r="D418" s="53">
        <f>CHOOSE($S$3,AJ418,AK418,AL418,AM418,AN418)</f>
        <v>76.09</v>
      </c>
      <c r="E418" s="55">
        <f t="shared" si="37"/>
        <v>-7.7240679890123844E-3</v>
      </c>
      <c r="F418" s="55">
        <f t="shared" si="40"/>
        <v>-7.7240679890123844E-3</v>
      </c>
      <c r="G418" s="70">
        <f t="shared" si="41"/>
        <v>-9.0390578318954619E-3</v>
      </c>
      <c r="H418" s="53"/>
      <c r="I418" s="15">
        <v>41626</v>
      </c>
      <c r="J418" s="55">
        <v>1.55E-2</v>
      </c>
      <c r="K418" s="55">
        <v>-4.7999999999999996E-3</v>
      </c>
      <c r="L418" s="55">
        <v>2.9999999999999997E-4</v>
      </c>
      <c r="M418" s="55">
        <v>0</v>
      </c>
      <c r="N418" s="70">
        <f t="shared" si="42"/>
        <v>1.4990854870775347E-2</v>
      </c>
      <c r="O418" s="70">
        <f t="shared" si="38"/>
        <v>-4.7083499005964209E-3</v>
      </c>
      <c r="P418" s="70">
        <f t="shared" si="39"/>
        <v>5.9840954274353875E-4</v>
      </c>
      <c r="AI418" s="15">
        <v>41626</v>
      </c>
      <c r="AJ418" s="2">
        <v>76.09</v>
      </c>
      <c r="AK418" s="2">
        <v>34.9</v>
      </c>
      <c r="AL418" s="2">
        <v>170.53</v>
      </c>
      <c r="AM418" s="2">
        <v>82.756950245691399</v>
      </c>
      <c r="AN418" s="2">
        <v>45.111969855680869</v>
      </c>
    </row>
    <row r="419" spans="2:40" x14ac:dyDescent="0.35">
      <c r="B419" s="15">
        <v>41625</v>
      </c>
      <c r="C419" s="49" t="str">
        <f>$S$4</f>
        <v>AAPL</v>
      </c>
      <c r="D419" s="53">
        <f>CHOOSE($S$3,AJ419,AK419,AL419,AM419,AN419)</f>
        <v>76.680000000000007</v>
      </c>
      <c r="E419" s="55">
        <f t="shared" si="37"/>
        <v>-4.4242102093189923E-3</v>
      </c>
      <c r="F419" s="55">
        <f t="shared" si="40"/>
        <v>-4.4242102093189923E-3</v>
      </c>
      <c r="G419" s="70">
        <f t="shared" si="41"/>
        <v>-5.7392000522020689E-3</v>
      </c>
      <c r="H419" s="53"/>
      <c r="I419" s="15">
        <v>41625</v>
      </c>
      <c r="J419" s="55">
        <v>-2.5999999999999999E-3</v>
      </c>
      <c r="K419" s="55">
        <v>1.9E-3</v>
      </c>
      <c r="L419" s="55">
        <v>-1.6000000000000001E-3</v>
      </c>
      <c r="M419" s="55">
        <v>0</v>
      </c>
      <c r="N419" s="70">
        <f t="shared" si="42"/>
        <v>-3.1091451292246525E-3</v>
      </c>
      <c r="O419" s="70">
        <f t="shared" si="38"/>
        <v>1.9916500994035784E-3</v>
      </c>
      <c r="P419" s="70">
        <f t="shared" si="39"/>
        <v>-1.3015904572564612E-3</v>
      </c>
      <c r="AI419" s="15">
        <v>41625</v>
      </c>
      <c r="AJ419" s="2">
        <v>76.680000000000007</v>
      </c>
      <c r="AK419" s="2">
        <v>34.840000000000003</v>
      </c>
      <c r="AL419" s="2">
        <v>167.73</v>
      </c>
      <c r="AM419" s="2">
        <v>82.398388264302227</v>
      </c>
      <c r="AN419" s="2">
        <v>44.702835956473116</v>
      </c>
    </row>
    <row r="420" spans="2:40" x14ac:dyDescent="0.35">
      <c r="B420" s="15">
        <v>41624</v>
      </c>
      <c r="C420" s="49" t="str">
        <f>$S$4</f>
        <v>AAPL</v>
      </c>
      <c r="D420" s="53">
        <f>CHOOSE($S$3,AJ420,AK420,AL420,AM420,AN420)</f>
        <v>77.02</v>
      </c>
      <c r="E420" s="55">
        <f t="shared" si="37"/>
        <v>5.4680516402172549E-3</v>
      </c>
      <c r="F420" s="55">
        <f t="shared" si="40"/>
        <v>5.4680516402172549E-3</v>
      </c>
      <c r="G420" s="70">
        <f t="shared" si="41"/>
        <v>4.1530617973341774E-3</v>
      </c>
      <c r="H420" s="53"/>
      <c r="I420" s="15">
        <v>41624</v>
      </c>
      <c r="J420" s="55">
        <v>6.7000000000000002E-3</v>
      </c>
      <c r="K420" s="55">
        <v>5.8999999999999999E-3</v>
      </c>
      <c r="L420" s="55">
        <v>-1.4000000000000002E-3</v>
      </c>
      <c r="M420" s="55">
        <v>0</v>
      </c>
      <c r="N420" s="70">
        <f t="shared" si="42"/>
        <v>6.1908548707753476E-3</v>
      </c>
      <c r="O420" s="70">
        <f t="shared" si="38"/>
        <v>5.9916500994035785E-3</v>
      </c>
      <c r="P420" s="70">
        <f t="shared" si="39"/>
        <v>-1.1015904572564614E-3</v>
      </c>
      <c r="AI420" s="15">
        <v>41624</v>
      </c>
      <c r="AJ420" s="2">
        <v>77.02</v>
      </c>
      <c r="AK420" s="2">
        <v>35.19</v>
      </c>
      <c r="AL420" s="2">
        <v>169.72</v>
      </c>
      <c r="AM420" s="2">
        <v>83.06986579888769</v>
      </c>
      <c r="AN420" s="2">
        <v>45.19256066418486</v>
      </c>
    </row>
    <row r="421" spans="2:40" x14ac:dyDescent="0.35">
      <c r="B421" s="15">
        <v>41621</v>
      </c>
      <c r="C421" s="49" t="str">
        <f>$S$4</f>
        <v>AAPL</v>
      </c>
      <c r="D421" s="53">
        <f>CHOOSE($S$3,AJ421,AK421,AL421,AM421,AN421)</f>
        <v>76.599999999999994</v>
      </c>
      <c r="E421" s="55">
        <f t="shared" si="37"/>
        <v>-1.0906366221775966E-2</v>
      </c>
      <c r="F421" s="55">
        <f t="shared" si="40"/>
        <v>-1.0906366221775966E-2</v>
      </c>
      <c r="G421" s="70">
        <f t="shared" si="41"/>
        <v>-1.2221356064659043E-2</v>
      </c>
      <c r="H421" s="53"/>
      <c r="I421" s="15">
        <v>41621</v>
      </c>
      <c r="J421" s="55">
        <v>1E-3</v>
      </c>
      <c r="K421" s="55">
        <v>2.5000000000000001E-3</v>
      </c>
      <c r="L421" s="55">
        <v>-1E-4</v>
      </c>
      <c r="M421" s="55">
        <v>0</v>
      </c>
      <c r="N421" s="70">
        <f t="shared" si="42"/>
        <v>4.9085487077534743E-4</v>
      </c>
      <c r="O421" s="70">
        <f t="shared" si="38"/>
        <v>2.5916500994035783E-3</v>
      </c>
      <c r="P421" s="70">
        <f t="shared" si="39"/>
        <v>1.9840954274353884E-4</v>
      </c>
      <c r="AI421" s="15">
        <v>41621</v>
      </c>
      <c r="AJ421" s="2">
        <v>76.599999999999994</v>
      </c>
      <c r="AK421" s="2">
        <v>35</v>
      </c>
      <c r="AL421" s="2">
        <v>164.9</v>
      </c>
      <c r="AM421" s="2">
        <v>81.663790101911118</v>
      </c>
      <c r="AN421" s="2">
        <v>44.42882947478941</v>
      </c>
    </row>
    <row r="422" spans="2:40" x14ac:dyDescent="0.35">
      <c r="B422" s="15">
        <v>41620</v>
      </c>
      <c r="C422" s="49" t="str">
        <f>$S$4</f>
        <v>AAPL</v>
      </c>
      <c r="D422" s="53">
        <f>CHOOSE($S$3,AJ422,AK422,AL422,AM422,AN422)</f>
        <v>77.44</v>
      </c>
      <c r="E422" s="55">
        <f t="shared" si="37"/>
        <v>-1.5483874061294853E-3</v>
      </c>
      <c r="F422" s="55">
        <f t="shared" si="40"/>
        <v>-1.5483874061294853E-3</v>
      </c>
      <c r="G422" s="70">
        <f t="shared" si="41"/>
        <v>-2.8633772490125626E-3</v>
      </c>
      <c r="H422" s="53"/>
      <c r="I422" s="15">
        <v>41620</v>
      </c>
      <c r="J422" s="55">
        <v>-2.3E-3</v>
      </c>
      <c r="K422" s="55">
        <v>3.5999999999999999E-3</v>
      </c>
      <c r="L422" s="55">
        <v>2.5000000000000001E-3</v>
      </c>
      <c r="M422" s="55">
        <v>0</v>
      </c>
      <c r="N422" s="70">
        <f t="shared" si="42"/>
        <v>-2.8091451292246526E-3</v>
      </c>
      <c r="O422" s="70">
        <f t="shared" si="38"/>
        <v>3.6916500994035781E-3</v>
      </c>
      <c r="P422" s="70">
        <f t="shared" si="39"/>
        <v>2.7984095427435389E-3</v>
      </c>
      <c r="AI422" s="15">
        <v>41620</v>
      </c>
      <c r="AJ422" s="2">
        <v>77.44</v>
      </c>
      <c r="AK422" s="2">
        <v>35.51</v>
      </c>
      <c r="AL422" s="2">
        <v>165.45</v>
      </c>
      <c r="AM422" s="2">
        <v>82.247743864011966</v>
      </c>
      <c r="AN422" s="2">
        <v>44.82661818633666</v>
      </c>
    </row>
    <row r="423" spans="2:40" x14ac:dyDescent="0.35">
      <c r="B423" s="15">
        <v>41619</v>
      </c>
      <c r="C423" s="49" t="str">
        <f>$S$4</f>
        <v>AAPL</v>
      </c>
      <c r="D423" s="53">
        <f>CHOOSE($S$3,AJ423,AK423,AL423,AM423,AN423)</f>
        <v>77.56</v>
      </c>
      <c r="E423" s="55">
        <f t="shared" si="37"/>
        <v>-7.4502592524734795E-3</v>
      </c>
      <c r="F423" s="55">
        <f t="shared" si="40"/>
        <v>-7.4502592524734795E-3</v>
      </c>
      <c r="G423" s="70">
        <f t="shared" si="41"/>
        <v>-8.765249095356557E-3</v>
      </c>
      <c r="H423" s="53"/>
      <c r="I423" s="15">
        <v>41619</v>
      </c>
      <c r="J423" s="55">
        <v>-1.1599999999999999E-2</v>
      </c>
      <c r="K423" s="55">
        <v>-3.4999999999999996E-3</v>
      </c>
      <c r="L423" s="55">
        <v>5.0000000000000001E-4</v>
      </c>
      <c r="M423" s="55">
        <v>0</v>
      </c>
      <c r="N423" s="70">
        <f t="shared" si="42"/>
        <v>-1.2109145129224652E-2</v>
      </c>
      <c r="O423" s="70">
        <f t="shared" si="38"/>
        <v>-3.4083499005964214E-3</v>
      </c>
      <c r="P423" s="70">
        <f t="shared" si="39"/>
        <v>7.9840954274353884E-4</v>
      </c>
      <c r="AI423" s="15">
        <v>41619</v>
      </c>
      <c r="AJ423" s="2">
        <v>77.56</v>
      </c>
      <c r="AK423" s="2">
        <v>35.880000000000003</v>
      </c>
      <c r="AL423" s="2">
        <v>167.19</v>
      </c>
      <c r="AM423" s="2">
        <v>82.74395927508246</v>
      </c>
      <c r="AN423" s="2">
        <v>45.29587157562198</v>
      </c>
    </row>
    <row r="424" spans="2:40" x14ac:dyDescent="0.35">
      <c r="B424" s="15">
        <v>41618</v>
      </c>
      <c r="C424" s="49" t="str">
        <f>$S$4</f>
        <v>AAPL</v>
      </c>
      <c r="D424" s="53">
        <f>CHOOSE($S$3,AJ424,AK424,AL424,AM424,AN424)</f>
        <v>78.14</v>
      </c>
      <c r="E424" s="55">
        <f t="shared" si="37"/>
        <v>-1.5345271553418897E-3</v>
      </c>
      <c r="F424" s="55">
        <f t="shared" si="40"/>
        <v>-1.5345271553418897E-3</v>
      </c>
      <c r="G424" s="70">
        <f t="shared" si="41"/>
        <v>-2.849516998224967E-3</v>
      </c>
      <c r="H424" s="53"/>
      <c r="I424" s="15">
        <v>41618</v>
      </c>
      <c r="J424" s="55">
        <v>-3.4000000000000002E-3</v>
      </c>
      <c r="K424" s="55">
        <v>-5.6000000000000008E-3</v>
      </c>
      <c r="L424" s="55">
        <v>2E-3</v>
      </c>
      <c r="M424" s="55">
        <v>0</v>
      </c>
      <c r="N424" s="70">
        <f t="shared" si="42"/>
        <v>-3.9091451292246528E-3</v>
      </c>
      <c r="O424" s="70">
        <f t="shared" si="38"/>
        <v>-5.5083499005964221E-3</v>
      </c>
      <c r="P424" s="70">
        <f t="shared" si="39"/>
        <v>2.2984095427435389E-3</v>
      </c>
      <c r="AI424" s="15">
        <v>41618</v>
      </c>
      <c r="AJ424" s="2">
        <v>78.14</v>
      </c>
      <c r="AK424" s="2">
        <v>36.35</v>
      </c>
      <c r="AL424" s="2">
        <v>169.02</v>
      </c>
      <c r="AM424" s="2">
        <v>83.506184721269122</v>
      </c>
      <c r="AN424" s="2">
        <v>45.840437802161134</v>
      </c>
    </row>
    <row r="425" spans="2:40" x14ac:dyDescent="0.35">
      <c r="B425" s="15">
        <v>41617</v>
      </c>
      <c r="C425" s="49" t="str">
        <f>$S$4</f>
        <v>AAPL</v>
      </c>
      <c r="D425" s="53">
        <f>CHOOSE($S$3,AJ425,AK425,AL425,AM425,AN425)</f>
        <v>78.260000000000005</v>
      </c>
      <c r="E425" s="55">
        <f t="shared" si="37"/>
        <v>1.1437508220903373E-2</v>
      </c>
      <c r="F425" s="55">
        <f t="shared" si="40"/>
        <v>1.1437508220903373E-2</v>
      </c>
      <c r="G425" s="70">
        <f t="shared" si="41"/>
        <v>1.0122518378020296E-2</v>
      </c>
      <c r="H425" s="53"/>
      <c r="I425" s="15">
        <v>41617</v>
      </c>
      <c r="J425" s="55">
        <v>1.7000000000000001E-3</v>
      </c>
      <c r="K425" s="55">
        <v>-4.1999999999999997E-3</v>
      </c>
      <c r="L425" s="55">
        <v>0</v>
      </c>
      <c r="M425" s="55">
        <v>0</v>
      </c>
      <c r="N425" s="70">
        <f t="shared" si="42"/>
        <v>1.1908548707753475E-3</v>
      </c>
      <c r="O425" s="70">
        <f t="shared" si="38"/>
        <v>-4.1083499005964211E-3</v>
      </c>
      <c r="P425" s="70">
        <f t="shared" si="39"/>
        <v>2.9840954274353883E-4</v>
      </c>
      <c r="AI425" s="15">
        <v>41617</v>
      </c>
      <c r="AJ425" s="2">
        <v>78.260000000000005</v>
      </c>
      <c r="AK425" s="2">
        <v>36.93</v>
      </c>
      <c r="AL425" s="2">
        <v>169.35</v>
      </c>
      <c r="AM425" s="2">
        <v>83.651825219642873</v>
      </c>
      <c r="AN425" s="2">
        <v>46.250902597770001</v>
      </c>
    </row>
    <row r="426" spans="2:40" x14ac:dyDescent="0.35">
      <c r="B426" s="15">
        <v>41614</v>
      </c>
      <c r="C426" s="49" t="str">
        <f>$S$4</f>
        <v>AAPL</v>
      </c>
      <c r="D426" s="53">
        <f>CHOOSE($S$3,AJ426,AK426,AL426,AM426,AN426)</f>
        <v>77.37</v>
      </c>
      <c r="E426" s="55">
        <f t="shared" si="37"/>
        <v>-1.3989832220043309E-2</v>
      </c>
      <c r="F426" s="55">
        <f t="shared" si="40"/>
        <v>-1.3989832220043309E-2</v>
      </c>
      <c r="G426" s="70">
        <f t="shared" si="41"/>
        <v>-1.5304822062926386E-2</v>
      </c>
      <c r="H426" s="53"/>
      <c r="I426" s="15">
        <v>41614</v>
      </c>
      <c r="J426" s="55">
        <v>1.0200000000000001E-2</v>
      </c>
      <c r="K426" s="55">
        <v>-2.8999999999999998E-3</v>
      </c>
      <c r="L426" s="55">
        <v>2E-3</v>
      </c>
      <c r="M426" s="55">
        <v>0</v>
      </c>
      <c r="N426" s="70">
        <f t="shared" si="42"/>
        <v>9.6908548707753481E-3</v>
      </c>
      <c r="O426" s="70">
        <f t="shared" si="38"/>
        <v>-2.8083499005964216E-3</v>
      </c>
      <c r="P426" s="70">
        <f t="shared" si="39"/>
        <v>2.2984095427435389E-3</v>
      </c>
      <c r="AI426" s="15">
        <v>41614</v>
      </c>
      <c r="AJ426" s="2">
        <v>77.37</v>
      </c>
      <c r="AK426" s="2">
        <v>36.590000000000003</v>
      </c>
      <c r="AL426" s="2">
        <v>169.55</v>
      </c>
      <c r="AM426" s="2">
        <v>83.225562184089597</v>
      </c>
      <c r="AN426" s="2">
        <v>46.065306490859747</v>
      </c>
    </row>
    <row r="427" spans="2:40" x14ac:dyDescent="0.35">
      <c r="B427" s="15">
        <v>41613</v>
      </c>
      <c r="C427" s="49" t="str">
        <f>$S$4</f>
        <v>AAPL</v>
      </c>
      <c r="D427" s="53">
        <f>CHOOSE($S$3,AJ427,AK427,AL427,AM427,AN427)</f>
        <v>78.459999999999994</v>
      </c>
      <c r="E427" s="55">
        <f t="shared" si="37"/>
        <v>5.1111790289375056E-3</v>
      </c>
      <c r="F427" s="55">
        <f t="shared" si="40"/>
        <v>5.1111790289375056E-3</v>
      </c>
      <c r="G427" s="70">
        <f t="shared" si="41"/>
        <v>3.7961891860544285E-3</v>
      </c>
      <c r="H427" s="53"/>
      <c r="I427" s="15">
        <v>41613</v>
      </c>
      <c r="J427" s="55">
        <v>-3.4999999999999996E-3</v>
      </c>
      <c r="K427" s="55">
        <v>6.9999999999999993E-3</v>
      </c>
      <c r="L427" s="55">
        <v>-6.3E-3</v>
      </c>
      <c r="M427" s="55">
        <v>0</v>
      </c>
      <c r="N427" s="70">
        <f t="shared" si="42"/>
        <v>-4.0091451292246522E-3</v>
      </c>
      <c r="O427" s="70">
        <f t="shared" si="38"/>
        <v>7.0916500994035779E-3</v>
      </c>
      <c r="P427" s="70">
        <f t="shared" si="39"/>
        <v>-6.0015904572564612E-3</v>
      </c>
      <c r="AI427" s="15">
        <v>41613</v>
      </c>
      <c r="AJ427" s="2">
        <v>78.459999999999994</v>
      </c>
      <c r="AK427" s="2">
        <v>36.25</v>
      </c>
      <c r="AL427" s="2">
        <v>168.03</v>
      </c>
      <c r="AM427" s="2">
        <v>83.438754480062642</v>
      </c>
      <c r="AN427" s="2">
        <v>45.644797879506605</v>
      </c>
    </row>
    <row r="428" spans="2:40" x14ac:dyDescent="0.35">
      <c r="B428" s="15">
        <v>41612</v>
      </c>
      <c r="C428" s="49" t="str">
        <f>$S$4</f>
        <v>AAPL</v>
      </c>
      <c r="D428" s="53">
        <f>CHOOSE($S$3,AJ428,AK428,AL428,AM428,AN428)</f>
        <v>78.06</v>
      </c>
      <c r="E428" s="55">
        <f t="shared" si="37"/>
        <v>-2.3032639740929186E-3</v>
      </c>
      <c r="F428" s="55">
        <f t="shared" si="40"/>
        <v>-2.3032639740929186E-3</v>
      </c>
      <c r="G428" s="70">
        <f t="shared" si="41"/>
        <v>-3.6182538169759956E-3</v>
      </c>
      <c r="H428" s="53"/>
      <c r="I428" s="15">
        <v>41612</v>
      </c>
      <c r="J428" s="55">
        <v>-7.000000000000001E-4</v>
      </c>
      <c r="K428" s="55">
        <v>-2E-3</v>
      </c>
      <c r="L428" s="55">
        <v>2.5999999999999999E-3</v>
      </c>
      <c r="M428" s="55">
        <v>0</v>
      </c>
      <c r="N428" s="70">
        <f t="shared" si="42"/>
        <v>-1.2091451292246527E-3</v>
      </c>
      <c r="O428" s="70">
        <f t="shared" si="38"/>
        <v>-1.9083499005964218E-3</v>
      </c>
      <c r="P428" s="70">
        <f t="shared" si="39"/>
        <v>2.8984095427435387E-3</v>
      </c>
      <c r="AI428" s="15">
        <v>41612</v>
      </c>
      <c r="AJ428" s="2">
        <v>78.06</v>
      </c>
      <c r="AK428" s="2">
        <v>37.15</v>
      </c>
      <c r="AL428" s="2">
        <v>167.71</v>
      </c>
      <c r="AM428" s="2">
        <v>83.146611995697086</v>
      </c>
      <c r="AN428" s="2">
        <v>46.16795948189057</v>
      </c>
    </row>
    <row r="429" spans="2:40" x14ac:dyDescent="0.35">
      <c r="B429" s="15">
        <v>41611</v>
      </c>
      <c r="C429" s="49" t="str">
        <f>$S$4</f>
        <v>AAPL</v>
      </c>
      <c r="D429" s="53">
        <f>CHOOSE($S$3,AJ429,AK429,AL429,AM429,AN429)</f>
        <v>78.239999999999995</v>
      </c>
      <c r="E429" s="55">
        <f t="shared" si="37"/>
        <v>2.6944635243451927E-2</v>
      </c>
      <c r="F429" s="55">
        <f t="shared" si="40"/>
        <v>2.6944635243451927E-2</v>
      </c>
      <c r="G429" s="70">
        <f t="shared" si="41"/>
        <v>2.5629645400568848E-2</v>
      </c>
      <c r="H429" s="53"/>
      <c r="I429" s="15">
        <v>41611</v>
      </c>
      <c r="J429" s="55">
        <v>-3.4000000000000002E-3</v>
      </c>
      <c r="K429" s="55">
        <v>-8.0000000000000004E-4</v>
      </c>
      <c r="L429" s="55">
        <v>-8.9999999999999998E-4</v>
      </c>
      <c r="M429" s="55">
        <v>0</v>
      </c>
      <c r="N429" s="70">
        <f t="shared" si="42"/>
        <v>-3.9091451292246528E-3</v>
      </c>
      <c r="O429" s="70">
        <f t="shared" si="38"/>
        <v>-7.083499005964217E-4</v>
      </c>
      <c r="P429" s="70">
        <f t="shared" si="39"/>
        <v>-6.0159045725646115E-4</v>
      </c>
      <c r="AI429" s="15">
        <v>41611</v>
      </c>
      <c r="AJ429" s="2">
        <v>78.239999999999995</v>
      </c>
      <c r="AK429" s="2">
        <v>36.549999999999997</v>
      </c>
      <c r="AL429" s="2">
        <v>168.03</v>
      </c>
      <c r="AM429" s="2">
        <v>83.321800830270845</v>
      </c>
      <c r="AN429" s="2">
        <v>45.839181637508325</v>
      </c>
    </row>
    <row r="430" spans="2:40" x14ac:dyDescent="0.35">
      <c r="B430" s="15">
        <v>41610</v>
      </c>
      <c r="C430" s="49" t="str">
        <f>$S$4</f>
        <v>AAPL</v>
      </c>
      <c r="D430" s="53">
        <f>CHOOSE($S$3,AJ430,AK430,AL430,AM430,AN430)</f>
        <v>76.16</v>
      </c>
      <c r="E430" s="55">
        <f t="shared" si="37"/>
        <v>-8.7587983964336983E-3</v>
      </c>
      <c r="F430" s="55">
        <f t="shared" si="40"/>
        <v>-8.7587983964336983E-3</v>
      </c>
      <c r="G430" s="70">
        <f t="shared" si="41"/>
        <v>-1.0073788239316775E-2</v>
      </c>
      <c r="H430" s="53"/>
      <c r="I430" s="15">
        <v>41610</v>
      </c>
      <c r="J430" s="55">
        <v>-3.0999999999999999E-3</v>
      </c>
      <c r="K430" s="55">
        <v>-9.7000000000000003E-3</v>
      </c>
      <c r="L430" s="55">
        <v>1.6000000000000001E-3</v>
      </c>
      <c r="M430" s="55">
        <v>0</v>
      </c>
      <c r="N430" s="70">
        <f t="shared" si="42"/>
        <v>-3.6091451292246525E-3</v>
      </c>
      <c r="O430" s="70">
        <f t="shared" si="38"/>
        <v>-9.6083499005964225E-3</v>
      </c>
      <c r="P430" s="70">
        <f t="shared" si="39"/>
        <v>1.8984095427435389E-3</v>
      </c>
      <c r="AI430" s="15">
        <v>41610</v>
      </c>
      <c r="AJ430" s="2">
        <v>76.16</v>
      </c>
      <c r="AK430" s="2">
        <v>36.68</v>
      </c>
      <c r="AL430" s="2">
        <v>169.37</v>
      </c>
      <c r="AM430" s="2">
        <v>82.546487279754601</v>
      </c>
      <c r="AN430" s="2">
        <v>46.103479768984251</v>
      </c>
    </row>
    <row r="431" spans="2:40" x14ac:dyDescent="0.35">
      <c r="B431" s="15">
        <v>41607</v>
      </c>
      <c r="C431" s="49" t="str">
        <f>$S$4</f>
        <v>AAPL</v>
      </c>
      <c r="D431" s="53">
        <f>CHOOSE($S$3,AJ431,AK431,AL431,AM431,AN431)</f>
        <v>76.83</v>
      </c>
      <c r="E431" s="55">
        <f t="shared" si="37"/>
        <v>1.8390115014003956E-2</v>
      </c>
      <c r="F431" s="55">
        <f t="shared" si="40"/>
        <v>1.8390115014003956E-2</v>
      </c>
      <c r="G431" s="70">
        <f t="shared" si="41"/>
        <v>1.7075125171120878E-2</v>
      </c>
      <c r="H431" s="53"/>
      <c r="I431" s="15">
        <v>41607</v>
      </c>
      <c r="J431" s="55">
        <v>-2.0000000000000001E-4</v>
      </c>
      <c r="K431" s="55">
        <v>2.8999999999999998E-3</v>
      </c>
      <c r="L431" s="55">
        <v>-1.7000000000000001E-3</v>
      </c>
      <c r="M431" s="55">
        <v>0</v>
      </c>
      <c r="N431" s="70">
        <f t="shared" si="42"/>
        <v>-7.0914512922465257E-4</v>
      </c>
      <c r="O431" s="70">
        <f t="shared" si="38"/>
        <v>2.991650099403578E-3</v>
      </c>
      <c r="P431" s="70">
        <f t="shared" si="39"/>
        <v>-1.4015904572564613E-3</v>
      </c>
      <c r="AI431" s="15">
        <v>41607</v>
      </c>
      <c r="AJ431" s="2">
        <v>76.83</v>
      </c>
      <c r="AK431" s="2">
        <v>36.369999999999997</v>
      </c>
      <c r="AL431" s="2">
        <v>171.47</v>
      </c>
      <c r="AM431" s="2">
        <v>83.42132151074658</v>
      </c>
      <c r="AN431" s="2">
        <v>46.194474617606559</v>
      </c>
    </row>
    <row r="432" spans="2:40" x14ac:dyDescent="0.35">
      <c r="B432" s="15">
        <v>41605</v>
      </c>
      <c r="C432" s="49" t="str">
        <f>$S$4</f>
        <v>AAPL</v>
      </c>
      <c r="D432" s="53">
        <f>CHOOSE($S$3,AJ432,AK432,AL432,AM432,AN432)</f>
        <v>75.430000000000007</v>
      </c>
      <c r="E432" s="55">
        <f t="shared" si="37"/>
        <v>2.3337969086631709E-2</v>
      </c>
      <c r="F432" s="55">
        <f t="shared" si="40"/>
        <v>2.3337969086631709E-2</v>
      </c>
      <c r="G432" s="70">
        <f t="shared" si="41"/>
        <v>2.202297924374863E-2</v>
      </c>
      <c r="H432" s="53"/>
      <c r="I432" s="15">
        <v>41605</v>
      </c>
      <c r="J432" s="55">
        <v>3.0000000000000001E-3</v>
      </c>
      <c r="K432" s="55">
        <v>3.4999999999999996E-3</v>
      </c>
      <c r="L432" s="55">
        <v>-5.9999999999999995E-4</v>
      </c>
      <c r="M432" s="55">
        <v>0</v>
      </c>
      <c r="N432" s="70">
        <f t="shared" si="42"/>
        <v>2.4908548707753475E-3</v>
      </c>
      <c r="O432" s="70">
        <f t="shared" si="38"/>
        <v>3.5916500994035779E-3</v>
      </c>
      <c r="P432" s="70">
        <f t="shared" si="39"/>
        <v>-3.0159045725646112E-4</v>
      </c>
      <c r="AI432" s="15">
        <v>41605</v>
      </c>
      <c r="AJ432" s="2">
        <v>75.430000000000007</v>
      </c>
      <c r="AK432" s="2">
        <v>35.869999999999997</v>
      </c>
      <c r="AL432" s="2">
        <v>170.79</v>
      </c>
      <c r="AM432" s="2">
        <v>82.495855507012351</v>
      </c>
      <c r="AN432" s="2">
        <v>45.785346267207274</v>
      </c>
    </row>
    <row r="433" spans="2:40" x14ac:dyDescent="0.35">
      <c r="B433" s="15">
        <v>41604</v>
      </c>
      <c r="C433" s="49" t="str">
        <f>$S$4</f>
        <v>AAPL</v>
      </c>
      <c r="D433" s="53">
        <f>CHOOSE($S$3,AJ433,AK433,AL433,AM433,AN433)</f>
        <v>73.69</v>
      </c>
      <c r="E433" s="55">
        <f t="shared" si="37"/>
        <v>1.8213444251813603E-2</v>
      </c>
      <c r="F433" s="55">
        <f t="shared" si="40"/>
        <v>1.8213444251813603E-2</v>
      </c>
      <c r="G433" s="70">
        <f t="shared" si="41"/>
        <v>1.6898454408930525E-2</v>
      </c>
      <c r="H433" s="53"/>
      <c r="I433" s="15">
        <v>41604</v>
      </c>
      <c r="J433" s="55">
        <v>1.8E-3</v>
      </c>
      <c r="K433" s="55">
        <v>8.5000000000000006E-3</v>
      </c>
      <c r="L433" s="55">
        <v>-4.7999999999999996E-3</v>
      </c>
      <c r="M433" s="55">
        <v>0</v>
      </c>
      <c r="N433" s="70">
        <f t="shared" si="42"/>
        <v>1.2908548707753474E-3</v>
      </c>
      <c r="O433" s="70">
        <f t="shared" si="38"/>
        <v>8.5916500994035784E-3</v>
      </c>
      <c r="P433" s="70">
        <f t="shared" si="39"/>
        <v>-4.5015904572564608E-3</v>
      </c>
      <c r="AI433" s="15">
        <v>41604</v>
      </c>
      <c r="AJ433" s="2">
        <v>73.69</v>
      </c>
      <c r="AK433" s="2">
        <v>35.630000000000003</v>
      </c>
      <c r="AL433" s="2">
        <v>169.21</v>
      </c>
      <c r="AM433" s="2">
        <v>81.162769007856568</v>
      </c>
      <c r="AN433" s="2">
        <v>45.420392299874848</v>
      </c>
    </row>
    <row r="434" spans="2:40" x14ac:dyDescent="0.35">
      <c r="B434" s="15">
        <v>41603</v>
      </c>
      <c r="C434" s="49" t="str">
        <f>$S$4</f>
        <v>AAPL</v>
      </c>
      <c r="D434" s="53">
        <f>CHOOSE($S$3,AJ434,AK434,AL434,AM434,AN434)</f>
        <v>72.36</v>
      </c>
      <c r="E434" s="55">
        <f t="shared" si="37"/>
        <v>7.6299184048682894E-3</v>
      </c>
      <c r="F434" s="55">
        <f t="shared" si="40"/>
        <v>7.6299184048682894E-3</v>
      </c>
      <c r="G434" s="70">
        <f t="shared" si="41"/>
        <v>6.3149285619852127E-3</v>
      </c>
      <c r="H434" s="53"/>
      <c r="I434" s="15">
        <v>41603</v>
      </c>
      <c r="J434" s="55">
        <v>-1.1000000000000001E-3</v>
      </c>
      <c r="K434" s="55">
        <v>1.5E-3</v>
      </c>
      <c r="L434" s="55">
        <v>1.4000000000000002E-3</v>
      </c>
      <c r="M434" s="55">
        <v>0</v>
      </c>
      <c r="N434" s="70">
        <f t="shared" si="42"/>
        <v>-1.6091451292246527E-3</v>
      </c>
      <c r="O434" s="70">
        <f t="shared" si="38"/>
        <v>1.5916500994035783E-3</v>
      </c>
      <c r="P434" s="70">
        <f t="shared" si="39"/>
        <v>1.698409542743539E-3</v>
      </c>
      <c r="AI434" s="15">
        <v>41603</v>
      </c>
      <c r="AJ434" s="2">
        <v>72.36</v>
      </c>
      <c r="AK434" s="2">
        <v>35.909999999999997</v>
      </c>
      <c r="AL434" s="2">
        <v>170.76</v>
      </c>
      <c r="AM434" s="2">
        <v>80.802066777952476</v>
      </c>
      <c r="AN434" s="2">
        <v>45.806891706914968</v>
      </c>
    </row>
    <row r="435" spans="2:40" x14ac:dyDescent="0.35">
      <c r="B435" s="15">
        <v>41600</v>
      </c>
      <c r="C435" s="49" t="str">
        <f>$S$4</f>
        <v>AAPL</v>
      </c>
      <c r="D435" s="53">
        <f>CHOOSE($S$3,AJ435,AK435,AL435,AM435,AN435)</f>
        <v>71.81</v>
      </c>
      <c r="E435" s="55">
        <f t="shared" si="37"/>
        <v>-2.6423768938291167E-3</v>
      </c>
      <c r="F435" s="55">
        <f t="shared" si="40"/>
        <v>-2.6423768938291167E-3</v>
      </c>
      <c r="G435" s="70">
        <f t="shared" si="41"/>
        <v>-3.9573667367121933E-3</v>
      </c>
      <c r="H435" s="53"/>
      <c r="I435" s="15">
        <v>41600</v>
      </c>
      <c r="J435" s="55">
        <v>5.0000000000000001E-3</v>
      </c>
      <c r="K435" s="55">
        <v>-7.000000000000001E-4</v>
      </c>
      <c r="L435" s="55">
        <v>1.1000000000000001E-3</v>
      </c>
      <c r="M435" s="55">
        <v>0</v>
      </c>
      <c r="N435" s="70">
        <f t="shared" si="42"/>
        <v>4.4908548707753475E-3</v>
      </c>
      <c r="O435" s="70">
        <f t="shared" si="38"/>
        <v>-6.0834990059642176E-4</v>
      </c>
      <c r="P435" s="70">
        <f t="shared" si="39"/>
        <v>1.3984095427435389E-3</v>
      </c>
      <c r="AI435" s="15">
        <v>41600</v>
      </c>
      <c r="AJ435" s="2">
        <v>71.81</v>
      </c>
      <c r="AK435" s="2">
        <v>35.840000000000003</v>
      </c>
      <c r="AL435" s="2">
        <v>173.01</v>
      </c>
      <c r="AM435" s="2">
        <v>81.027322878846959</v>
      </c>
      <c r="AN435" s="2">
        <v>46.064030300739724</v>
      </c>
    </row>
    <row r="436" spans="2:40" x14ac:dyDescent="0.35">
      <c r="B436" s="15">
        <v>41599</v>
      </c>
      <c r="C436" s="49" t="str">
        <f>$S$4</f>
        <v>AAPL</v>
      </c>
      <c r="D436" s="53">
        <f>CHOOSE($S$3,AJ436,AK436,AL436,AM436,AN436)</f>
        <v>72</v>
      </c>
      <c r="E436" s="55">
        <f t="shared" si="37"/>
        <v>1.1875794480193833E-2</v>
      </c>
      <c r="F436" s="55">
        <f t="shared" si="40"/>
        <v>1.1875794480193833E-2</v>
      </c>
      <c r="G436" s="70">
        <f t="shared" si="41"/>
        <v>1.0560804637310756E-2</v>
      </c>
      <c r="H436" s="53"/>
      <c r="I436" s="15">
        <v>41599</v>
      </c>
      <c r="J436" s="55">
        <v>9.7000000000000003E-3</v>
      </c>
      <c r="K436" s="55">
        <v>7.9000000000000008E-3</v>
      </c>
      <c r="L436" s="55">
        <v>-5.9999999999999995E-4</v>
      </c>
      <c r="M436" s="55">
        <v>0</v>
      </c>
      <c r="N436" s="70">
        <f t="shared" si="42"/>
        <v>9.1908548707753477E-3</v>
      </c>
      <c r="O436" s="70">
        <f t="shared" si="38"/>
        <v>7.9916500994035786E-3</v>
      </c>
      <c r="P436" s="70">
        <f t="shared" si="39"/>
        <v>-3.0159045725646112E-4</v>
      </c>
      <c r="AI436" s="15">
        <v>41599</v>
      </c>
      <c r="AJ436" s="2">
        <v>72</v>
      </c>
      <c r="AK436" s="2">
        <v>35.68</v>
      </c>
      <c r="AL436" s="2">
        <v>175.71</v>
      </c>
      <c r="AM436" s="2">
        <v>81.766774394112673</v>
      </c>
      <c r="AN436" s="2">
        <v>46.320647223733907</v>
      </c>
    </row>
    <row r="437" spans="2:40" x14ac:dyDescent="0.35">
      <c r="B437" s="15">
        <v>41598</v>
      </c>
      <c r="C437" s="49" t="str">
        <f>$S$4</f>
        <v>AAPL</v>
      </c>
      <c r="D437" s="53">
        <f>CHOOSE($S$3,AJ437,AK437,AL437,AM437,AN437)</f>
        <v>71.150000000000006</v>
      </c>
      <c r="E437" s="55">
        <f t="shared" si="37"/>
        <v>-8.8155611835997617E-3</v>
      </c>
      <c r="F437" s="55">
        <f t="shared" si="40"/>
        <v>-8.8155611835997617E-3</v>
      </c>
      <c r="G437" s="70">
        <f t="shared" si="41"/>
        <v>-1.0130551026482838E-2</v>
      </c>
      <c r="H437" s="53"/>
      <c r="I437" s="15">
        <v>41598</v>
      </c>
      <c r="J437" s="55">
        <v>-3.3E-3</v>
      </c>
      <c r="K437" s="55">
        <v>2.5999999999999999E-3</v>
      </c>
      <c r="L437" s="55">
        <v>2.9999999999999997E-4</v>
      </c>
      <c r="M437" s="55">
        <v>0</v>
      </c>
      <c r="N437" s="70">
        <f t="shared" si="42"/>
        <v>-3.8091451292246526E-3</v>
      </c>
      <c r="O437" s="70">
        <f t="shared" si="38"/>
        <v>2.6916500994035781E-3</v>
      </c>
      <c r="P437" s="70">
        <f t="shared" si="39"/>
        <v>5.9840954274353875E-4</v>
      </c>
      <c r="AI437" s="15">
        <v>41598</v>
      </c>
      <c r="AJ437" s="2">
        <v>71.150000000000006</v>
      </c>
      <c r="AK437" s="2">
        <v>35.369999999999997</v>
      </c>
      <c r="AL437" s="2">
        <v>176.73</v>
      </c>
      <c r="AM437" s="2">
        <v>81.521452160667423</v>
      </c>
      <c r="AN437" s="2">
        <v>46.253868572300703</v>
      </c>
    </row>
    <row r="438" spans="2:40" x14ac:dyDescent="0.35">
      <c r="B438" s="15">
        <v>41597</v>
      </c>
      <c r="C438" s="49" t="str">
        <f>$S$4</f>
        <v>AAPL</v>
      </c>
      <c r="D438" s="53">
        <f>CHOOSE($S$3,AJ438,AK438,AL438,AM438,AN438)</f>
        <v>71.78</v>
      </c>
      <c r="E438" s="55">
        <f t="shared" si="37"/>
        <v>1.8127314452803401E-3</v>
      </c>
      <c r="F438" s="55">
        <f t="shared" si="40"/>
        <v>1.8127314452803401E-3</v>
      </c>
      <c r="G438" s="70">
        <f t="shared" si="41"/>
        <v>4.9774160239726304E-4</v>
      </c>
      <c r="H438" s="53"/>
      <c r="I438" s="15">
        <v>41597</v>
      </c>
      <c r="J438" s="55">
        <v>-2.7000000000000001E-3</v>
      </c>
      <c r="K438" s="55">
        <v>-3.3E-3</v>
      </c>
      <c r="L438" s="55">
        <v>2.5999999999999999E-3</v>
      </c>
      <c r="M438" s="55">
        <v>0</v>
      </c>
      <c r="N438" s="70">
        <f t="shared" si="42"/>
        <v>-3.2091451292246527E-3</v>
      </c>
      <c r="O438" s="70">
        <f t="shared" si="38"/>
        <v>-3.2083499005964218E-3</v>
      </c>
      <c r="P438" s="70">
        <f t="shared" si="39"/>
        <v>2.8984095427435387E-3</v>
      </c>
      <c r="AI438" s="15">
        <v>41597</v>
      </c>
      <c r="AJ438" s="2">
        <v>71.78</v>
      </c>
      <c r="AK438" s="2">
        <v>35.049999999999997</v>
      </c>
      <c r="AL438" s="2">
        <v>176.78</v>
      </c>
      <c r="AM438" s="2">
        <v>81.893901262168342</v>
      </c>
      <c r="AN438" s="2">
        <v>46.051177235111254</v>
      </c>
    </row>
    <row r="439" spans="2:40" x14ac:dyDescent="0.35">
      <c r="B439" s="15">
        <v>41596</v>
      </c>
      <c r="C439" s="49" t="str">
        <f>$S$4</f>
        <v>AAPL</v>
      </c>
      <c r="D439" s="53">
        <f>CHOOSE($S$3,AJ439,AK439,AL439,AM439,AN439)</f>
        <v>71.650000000000006</v>
      </c>
      <c r="E439" s="55">
        <f t="shared" si="37"/>
        <v>-1.2207115101140064E-2</v>
      </c>
      <c r="F439" s="55">
        <f t="shared" si="40"/>
        <v>-1.2207115101140064E-2</v>
      </c>
      <c r="G439" s="70">
        <f t="shared" si="41"/>
        <v>-1.3522104944023141E-2</v>
      </c>
      <c r="H439" s="53"/>
      <c r="I439" s="15">
        <v>41596</v>
      </c>
      <c r="J439" s="55">
        <v>-5.0000000000000001E-3</v>
      </c>
      <c r="K439" s="55">
        <v>-4.5000000000000005E-3</v>
      </c>
      <c r="L439" s="55">
        <v>4.5000000000000005E-3</v>
      </c>
      <c r="M439" s="55">
        <v>0</v>
      </c>
      <c r="N439" s="70">
        <f t="shared" si="42"/>
        <v>-5.5091451292246527E-3</v>
      </c>
      <c r="O439" s="70">
        <f t="shared" si="38"/>
        <v>-4.4083499005964219E-3</v>
      </c>
      <c r="P439" s="70">
        <f t="shared" si="39"/>
        <v>4.7984095427435394E-3</v>
      </c>
      <c r="AI439" s="15">
        <v>41596</v>
      </c>
      <c r="AJ439" s="2">
        <v>71.650000000000006</v>
      </c>
      <c r="AK439" s="2">
        <v>35.22</v>
      </c>
      <c r="AL439" s="2">
        <v>176.04</v>
      </c>
      <c r="AM439" s="2">
        <v>81.64833898709702</v>
      </c>
      <c r="AN439" s="2">
        <v>46.066471293639381</v>
      </c>
    </row>
    <row r="440" spans="2:40" x14ac:dyDescent="0.35">
      <c r="B440" s="15">
        <v>41593</v>
      </c>
      <c r="C440" s="49" t="str">
        <f>$S$4</f>
        <v>AAPL</v>
      </c>
      <c r="D440" s="53">
        <f>CHOOSE($S$3,AJ440,AK440,AL440,AM440,AN440)</f>
        <v>72.53</v>
      </c>
      <c r="E440" s="55">
        <f t="shared" si="37"/>
        <v>-6.0481284022077244E-3</v>
      </c>
      <c r="F440" s="55">
        <f t="shared" si="40"/>
        <v>-6.0481284022077244E-3</v>
      </c>
      <c r="G440" s="70">
        <f t="shared" si="41"/>
        <v>-7.3631182450908019E-3</v>
      </c>
      <c r="H440" s="53"/>
      <c r="I440" s="15">
        <v>41593</v>
      </c>
      <c r="J440" s="55">
        <v>4.3E-3</v>
      </c>
      <c r="K440" s="55">
        <v>5.9999999999999995E-4</v>
      </c>
      <c r="L440" s="55">
        <v>-2.7000000000000001E-3</v>
      </c>
      <c r="M440" s="55">
        <v>0</v>
      </c>
      <c r="N440" s="70">
        <f t="shared" si="42"/>
        <v>3.7908548707753474E-3</v>
      </c>
      <c r="O440" s="70">
        <f t="shared" si="38"/>
        <v>6.9165009940357828E-4</v>
      </c>
      <c r="P440" s="70">
        <f t="shared" si="39"/>
        <v>-2.4015904572564613E-3</v>
      </c>
      <c r="AI440" s="15">
        <v>41593</v>
      </c>
      <c r="AJ440" s="2">
        <v>72.53</v>
      </c>
      <c r="AK440" s="2">
        <v>35.83</v>
      </c>
      <c r="AL440" s="2">
        <v>174.82</v>
      </c>
      <c r="AM440" s="2">
        <v>81.866816996994487</v>
      </c>
      <c r="AN440" s="2">
        <v>46.305774210608718</v>
      </c>
    </row>
    <row r="441" spans="2:40" x14ac:dyDescent="0.35">
      <c r="B441" s="15">
        <v>41592</v>
      </c>
      <c r="C441" s="49" t="str">
        <f>$S$4</f>
        <v>AAPL</v>
      </c>
      <c r="D441" s="53">
        <f>CHOOSE($S$3,AJ441,AK441,AL441,AM441,AN441)</f>
        <v>72.97</v>
      </c>
      <c r="E441" s="55">
        <f t="shared" si="37"/>
        <v>1.435497389826375E-2</v>
      </c>
      <c r="F441" s="55">
        <f t="shared" si="40"/>
        <v>1.435497389826375E-2</v>
      </c>
      <c r="G441" s="70">
        <f t="shared" si="41"/>
        <v>1.3039984055380673E-2</v>
      </c>
      <c r="H441" s="53"/>
      <c r="I441" s="15">
        <v>41592</v>
      </c>
      <c r="J441" s="55">
        <v>4.3E-3</v>
      </c>
      <c r="K441" s="55">
        <v>-5.6000000000000008E-3</v>
      </c>
      <c r="L441" s="55">
        <v>3.0999999999999999E-3</v>
      </c>
      <c r="M441" s="55">
        <v>0</v>
      </c>
      <c r="N441" s="70">
        <f t="shared" si="42"/>
        <v>3.7908548707753474E-3</v>
      </c>
      <c r="O441" s="70">
        <f t="shared" si="38"/>
        <v>-5.5083499005964221E-3</v>
      </c>
      <c r="P441" s="70">
        <f t="shared" si="39"/>
        <v>3.3984095427435387E-3</v>
      </c>
      <c r="AI441" s="15">
        <v>41592</v>
      </c>
      <c r="AJ441" s="2">
        <v>72.97</v>
      </c>
      <c r="AK441" s="2">
        <v>36</v>
      </c>
      <c r="AL441" s="2">
        <v>173.88</v>
      </c>
      <c r="AM441" s="2">
        <v>81.895040422591734</v>
      </c>
      <c r="AN441" s="2">
        <v>46.29113390496957</v>
      </c>
    </row>
    <row r="442" spans="2:40" x14ac:dyDescent="0.35">
      <c r="B442" s="15">
        <v>41591</v>
      </c>
      <c r="C442" s="49" t="str">
        <f>$S$4</f>
        <v>AAPL</v>
      </c>
      <c r="D442" s="53">
        <f>CHOOSE($S$3,AJ442,AK442,AL442,AM442,AN442)</f>
        <v>71.930000000000007</v>
      </c>
      <c r="E442" s="55">
        <f t="shared" si="37"/>
        <v>1.2519998853206642E-3</v>
      </c>
      <c r="F442" s="55">
        <f t="shared" si="40"/>
        <v>1.2519998853206642E-3</v>
      </c>
      <c r="G442" s="70">
        <f t="shared" si="41"/>
        <v>-6.2989957562412883E-5</v>
      </c>
      <c r="H442" s="53"/>
      <c r="I442" s="15">
        <v>41591</v>
      </c>
      <c r="J442" s="55">
        <v>9.0000000000000011E-3</v>
      </c>
      <c r="K442" s="55">
        <v>8.9999999999999998E-4</v>
      </c>
      <c r="L442" s="55">
        <v>-1.1999999999999999E-3</v>
      </c>
      <c r="M442" s="55">
        <v>0</v>
      </c>
      <c r="N442" s="70">
        <f t="shared" si="42"/>
        <v>8.4908548707753485E-3</v>
      </c>
      <c r="O442" s="70">
        <f t="shared" si="38"/>
        <v>9.916500994035782E-4</v>
      </c>
      <c r="P442" s="70">
        <f t="shared" si="39"/>
        <v>-9.0159045725646107E-4</v>
      </c>
      <c r="AI442" s="15">
        <v>41591</v>
      </c>
      <c r="AJ442" s="2">
        <v>71.930000000000007</v>
      </c>
      <c r="AK442" s="2">
        <v>36.130000000000003</v>
      </c>
      <c r="AL442" s="2">
        <v>175.16</v>
      </c>
      <c r="AM442" s="2">
        <v>81.612869675120379</v>
      </c>
      <c r="AN442" s="2">
        <v>46.545098864646626</v>
      </c>
    </row>
    <row r="443" spans="2:40" x14ac:dyDescent="0.35">
      <c r="B443" s="15">
        <v>41590</v>
      </c>
      <c r="C443" s="49" t="str">
        <f>$S$4</f>
        <v>AAPL</v>
      </c>
      <c r="D443" s="53">
        <f>CHOOSE($S$3,AJ443,AK443,AL443,AM443,AN443)</f>
        <v>71.84</v>
      </c>
      <c r="E443" s="55">
        <f t="shared" si="37"/>
        <v>1.8112160994607945E-3</v>
      </c>
      <c r="F443" s="55">
        <f t="shared" si="40"/>
        <v>1.8112160994607945E-3</v>
      </c>
      <c r="G443" s="70">
        <f t="shared" si="41"/>
        <v>4.9622625657771741E-4</v>
      </c>
      <c r="H443" s="53"/>
      <c r="I443" s="15">
        <v>41590</v>
      </c>
      <c r="J443" s="55">
        <v>-1.9E-3</v>
      </c>
      <c r="K443" s="55">
        <v>3.8E-3</v>
      </c>
      <c r="L443" s="55">
        <v>-6.9999999999999993E-3</v>
      </c>
      <c r="M443" s="55">
        <v>0</v>
      </c>
      <c r="N443" s="70">
        <f t="shared" si="42"/>
        <v>-2.4091451292246524E-3</v>
      </c>
      <c r="O443" s="70">
        <f t="shared" si="38"/>
        <v>3.8916500994035782E-3</v>
      </c>
      <c r="P443" s="70">
        <f t="shared" si="39"/>
        <v>-6.7015904572564605E-3</v>
      </c>
      <c r="AI443" s="15">
        <v>41590</v>
      </c>
      <c r="AJ443" s="2">
        <v>71.84</v>
      </c>
      <c r="AK443" s="2">
        <v>35.369999999999997</v>
      </c>
      <c r="AL443" s="2">
        <v>174.7</v>
      </c>
      <c r="AM443" s="2">
        <v>81.45464734255178</v>
      </c>
      <c r="AN443" s="2">
        <v>45.994439597322632</v>
      </c>
    </row>
    <row r="444" spans="2:40" x14ac:dyDescent="0.35">
      <c r="B444" s="15">
        <v>41589</v>
      </c>
      <c r="C444" s="49" t="str">
        <f>$S$4</f>
        <v>AAPL</v>
      </c>
      <c r="D444" s="53">
        <f>CHOOSE($S$3,AJ444,AK444,AL444,AM444,AN444)</f>
        <v>71.709999999999994</v>
      </c>
      <c r="E444" s="55">
        <f t="shared" si="37"/>
        <v>-2.9241822688813881E-3</v>
      </c>
      <c r="F444" s="55">
        <f t="shared" si="40"/>
        <v>-2.9241822688813881E-3</v>
      </c>
      <c r="G444" s="70">
        <f t="shared" si="41"/>
        <v>-4.2391721117644651E-3</v>
      </c>
      <c r="H444" s="53"/>
      <c r="I444" s="15">
        <v>41589</v>
      </c>
      <c r="J444" s="55">
        <v>1.1999999999999999E-3</v>
      </c>
      <c r="K444" s="55">
        <v>1E-4</v>
      </c>
      <c r="L444" s="55">
        <v>-1.2999999999999999E-3</v>
      </c>
      <c r="M444" s="55">
        <v>0</v>
      </c>
      <c r="N444" s="70">
        <f t="shared" si="42"/>
        <v>6.908548707753473E-4</v>
      </c>
      <c r="O444" s="70">
        <f t="shared" si="38"/>
        <v>1.9165009940357833E-4</v>
      </c>
      <c r="P444" s="70">
        <f t="shared" si="39"/>
        <v>-1.0015904572564611E-3</v>
      </c>
      <c r="AI444" s="15">
        <v>41589</v>
      </c>
      <c r="AJ444" s="2">
        <v>71.709999999999994</v>
      </c>
      <c r="AK444" s="2">
        <v>35.590000000000003</v>
      </c>
      <c r="AL444" s="2">
        <v>174.52</v>
      </c>
      <c r="AM444" s="2">
        <v>81.338985223099428</v>
      </c>
      <c r="AN444" s="2">
        <v>46.113786491149042</v>
      </c>
    </row>
    <row r="445" spans="2:40" x14ac:dyDescent="0.35">
      <c r="B445" s="15">
        <v>41586</v>
      </c>
      <c r="C445" s="49" t="str">
        <f>$S$4</f>
        <v>AAPL</v>
      </c>
      <c r="D445" s="53">
        <f>CHOOSE($S$3,AJ445,AK445,AL445,AM445,AN445)</f>
        <v>71.92</v>
      </c>
      <c r="E445" s="55">
        <f t="shared" si="37"/>
        <v>1.5695389463690874E-2</v>
      </c>
      <c r="F445" s="55">
        <f t="shared" si="40"/>
        <v>1.5695389463690874E-2</v>
      </c>
      <c r="G445" s="70">
        <f t="shared" si="41"/>
        <v>1.4380399620807798E-2</v>
      </c>
      <c r="H445" s="53"/>
      <c r="I445" s="15">
        <v>41586</v>
      </c>
      <c r="J445" s="55">
        <v>1.4499999999999999E-2</v>
      </c>
      <c r="K445" s="55">
        <v>5.1999999999999998E-3</v>
      </c>
      <c r="L445" s="55">
        <v>4.0999999999999995E-3</v>
      </c>
      <c r="M445" s="55">
        <v>0</v>
      </c>
      <c r="N445" s="70">
        <f t="shared" si="42"/>
        <v>1.3990854870775346E-2</v>
      </c>
      <c r="O445" s="70">
        <f t="shared" si="38"/>
        <v>5.2916500994035784E-3</v>
      </c>
      <c r="P445" s="70">
        <f t="shared" si="39"/>
        <v>4.3984095427435383E-3</v>
      </c>
      <c r="AI445" s="15">
        <v>41586</v>
      </c>
      <c r="AJ445" s="2">
        <v>71.92</v>
      </c>
      <c r="AK445" s="2">
        <v>35.770000000000003</v>
      </c>
      <c r="AL445" s="2">
        <v>171.76</v>
      </c>
      <c r="AM445" s="2">
        <v>80.814904132063717</v>
      </c>
      <c r="AN445" s="2">
        <v>45.86575874363718</v>
      </c>
    </row>
    <row r="446" spans="2:40" x14ac:dyDescent="0.35">
      <c r="B446" s="15">
        <v>41585</v>
      </c>
      <c r="C446" s="49" t="str">
        <f>$S$4</f>
        <v>AAPL</v>
      </c>
      <c r="D446" s="53">
        <f>CHOOSE($S$3,AJ446,AK446,AL446,AM446,AN446)</f>
        <v>70.8</v>
      </c>
      <c r="E446" s="55">
        <f t="shared" si="37"/>
        <v>-1.6390364820038843E-2</v>
      </c>
      <c r="F446" s="55">
        <f t="shared" si="40"/>
        <v>-1.6390364820038843E-2</v>
      </c>
      <c r="G446" s="70">
        <f t="shared" si="41"/>
        <v>-1.7705354662921922E-2</v>
      </c>
      <c r="H446" s="53"/>
      <c r="I446" s="15">
        <v>41585</v>
      </c>
      <c r="J446" s="55">
        <v>-1.46E-2</v>
      </c>
      <c r="K446" s="55">
        <v>-3.5999999999999999E-3</v>
      </c>
      <c r="L446" s="55">
        <v>1.8E-3</v>
      </c>
      <c r="M446" s="55">
        <v>0</v>
      </c>
      <c r="N446" s="70">
        <f t="shared" si="42"/>
        <v>-1.5109145129224653E-2</v>
      </c>
      <c r="O446" s="70">
        <f t="shared" si="38"/>
        <v>-3.5083499005964217E-3</v>
      </c>
      <c r="P446" s="70">
        <f t="shared" si="39"/>
        <v>2.0984095427435388E-3</v>
      </c>
      <c r="AI446" s="15">
        <v>41585</v>
      </c>
      <c r="AJ446" s="2">
        <v>70.8</v>
      </c>
      <c r="AK446" s="2">
        <v>35.5</v>
      </c>
      <c r="AL446" s="2">
        <v>171.77</v>
      </c>
      <c r="AM446" s="2">
        <v>80.187997142423598</v>
      </c>
      <c r="AN446" s="2">
        <v>45.693991385498165</v>
      </c>
    </row>
    <row r="447" spans="2:40" x14ac:dyDescent="0.35">
      <c r="B447" s="15">
        <v>41584</v>
      </c>
      <c r="C447" s="49" t="str">
        <f>$S$4</f>
        <v>AAPL</v>
      </c>
      <c r="D447" s="53">
        <f>CHOOSE($S$3,AJ447,AK447,AL447,AM447,AN447)</f>
        <v>71.97</v>
      </c>
      <c r="E447" s="55">
        <f t="shared" si="37"/>
        <v>-2.7750815644689538E-3</v>
      </c>
      <c r="F447" s="55">
        <f t="shared" si="40"/>
        <v>-2.7750815644689538E-3</v>
      </c>
      <c r="G447" s="70">
        <f t="shared" si="41"/>
        <v>-4.0900714073520313E-3</v>
      </c>
      <c r="H447" s="53"/>
      <c r="I447" s="15">
        <v>41584</v>
      </c>
      <c r="J447" s="55">
        <v>2.7000000000000001E-3</v>
      </c>
      <c r="K447" s="55">
        <v>-8.3000000000000001E-3</v>
      </c>
      <c r="L447" s="55">
        <v>3.9000000000000003E-3</v>
      </c>
      <c r="M447" s="55">
        <v>0</v>
      </c>
      <c r="N447" s="70">
        <f t="shared" si="42"/>
        <v>2.1908548707753476E-3</v>
      </c>
      <c r="O447" s="70">
        <f t="shared" si="38"/>
        <v>-8.2083499005964223E-3</v>
      </c>
      <c r="P447" s="70">
        <f t="shared" si="39"/>
        <v>4.1984095427435395E-3</v>
      </c>
      <c r="AI447" s="15">
        <v>41584</v>
      </c>
      <c r="AJ447" s="2">
        <v>71.97</v>
      </c>
      <c r="AK447" s="2">
        <v>36.15</v>
      </c>
      <c r="AL447" s="2">
        <v>171</v>
      </c>
      <c r="AM447" s="2">
        <v>80.670836544947704</v>
      </c>
      <c r="AN447" s="2">
        <v>46.009899550499682</v>
      </c>
    </row>
    <row r="448" spans="2:40" x14ac:dyDescent="0.35">
      <c r="B448" s="15">
        <v>41583</v>
      </c>
      <c r="C448" s="49" t="str">
        <f>$S$4</f>
        <v>AAPL</v>
      </c>
      <c r="D448" s="53">
        <f>CHOOSE($S$3,AJ448,AK448,AL448,AM448,AN448)</f>
        <v>72.17</v>
      </c>
      <c r="E448" s="55">
        <f t="shared" si="37"/>
        <v>-2.4910059933108976E-3</v>
      </c>
      <c r="F448" s="55">
        <f t="shared" si="40"/>
        <v>-2.4910059933108976E-3</v>
      </c>
      <c r="G448" s="70">
        <f t="shared" si="41"/>
        <v>-3.8059958361939747E-3</v>
      </c>
      <c r="H448" s="53"/>
      <c r="I448" s="15">
        <v>41583</v>
      </c>
      <c r="J448" s="55">
        <v>-2.3E-3</v>
      </c>
      <c r="K448" s="55">
        <v>0</v>
      </c>
      <c r="L448" s="55">
        <v>-2.5000000000000001E-3</v>
      </c>
      <c r="M448" s="55">
        <v>0</v>
      </c>
      <c r="N448" s="70">
        <f t="shared" si="42"/>
        <v>-2.8091451292246526E-3</v>
      </c>
      <c r="O448" s="70">
        <f t="shared" si="38"/>
        <v>9.165009940357831E-5</v>
      </c>
      <c r="P448" s="70">
        <f t="shared" si="39"/>
        <v>-2.2015904572564612E-3</v>
      </c>
      <c r="AI448" s="15">
        <v>41583</v>
      </c>
      <c r="AJ448" s="2">
        <v>72.17</v>
      </c>
      <c r="AK448" s="2">
        <v>34.69</v>
      </c>
      <c r="AL448" s="2">
        <v>168.81</v>
      </c>
      <c r="AM448" s="2">
        <v>80.266349667999748</v>
      </c>
      <c r="AN448" s="2">
        <v>44.786167516629966</v>
      </c>
    </row>
    <row r="449" spans="2:40" x14ac:dyDescent="0.35">
      <c r="B449" s="15">
        <v>41582</v>
      </c>
      <c r="C449" s="49" t="str">
        <f>$S$4</f>
        <v>AAPL</v>
      </c>
      <c r="D449" s="53">
        <f>CHOOSE($S$3,AJ449,AK449,AL449,AM449,AN449)</f>
        <v>72.349999999999994</v>
      </c>
      <c r="E449" s="55">
        <f t="shared" si="37"/>
        <v>1.2797503910611532E-2</v>
      </c>
      <c r="F449" s="55">
        <f t="shared" si="40"/>
        <v>1.2797503910611532E-2</v>
      </c>
      <c r="G449" s="70">
        <f t="shared" si="41"/>
        <v>1.1482514067728456E-2</v>
      </c>
      <c r="H449" s="53"/>
      <c r="I449" s="15">
        <v>41582</v>
      </c>
      <c r="J449" s="55">
        <v>4.6999999999999993E-3</v>
      </c>
      <c r="K449" s="55">
        <v>7.6E-3</v>
      </c>
      <c r="L449" s="55">
        <v>-2.9999999999999997E-4</v>
      </c>
      <c r="M449" s="55">
        <v>0</v>
      </c>
      <c r="N449" s="70">
        <f t="shared" si="42"/>
        <v>4.1908548707753467E-3</v>
      </c>
      <c r="O449" s="70">
        <f t="shared" si="38"/>
        <v>7.6916500994035786E-3</v>
      </c>
      <c r="P449" s="70">
        <f t="shared" si="39"/>
        <v>-1.5904572564611461E-6</v>
      </c>
      <c r="AI449" s="15">
        <v>41582</v>
      </c>
      <c r="AJ449" s="2">
        <v>72.349999999999994</v>
      </c>
      <c r="AK449" s="2">
        <v>34.03</v>
      </c>
      <c r="AL449" s="2">
        <v>171.11</v>
      </c>
      <c r="AM449" s="2">
        <v>80.913252154872225</v>
      </c>
      <c r="AN449" s="2">
        <v>44.665225370101986</v>
      </c>
    </row>
    <row r="450" spans="2:40" x14ac:dyDescent="0.35">
      <c r="B450" s="15">
        <v>41579</v>
      </c>
      <c r="C450" s="49" t="str">
        <f>$S$4</f>
        <v>AAPL</v>
      </c>
      <c r="D450" s="53">
        <f>CHOOSE($S$3,AJ450,AK450,AL450,AM450,AN450)</f>
        <v>71.430000000000007</v>
      </c>
      <c r="E450" s="55">
        <f t="shared" si="37"/>
        <v>-5.1665268872972715E-3</v>
      </c>
      <c r="F450" s="55">
        <f t="shared" si="40"/>
        <v>-5.1665268872972715E-3</v>
      </c>
      <c r="G450" s="70">
        <f t="shared" si="41"/>
        <v>-6.4815167301803481E-3</v>
      </c>
      <c r="H450" s="53"/>
      <c r="I450" s="15">
        <v>41579</v>
      </c>
      <c r="J450" s="55">
        <v>2E-3</v>
      </c>
      <c r="K450" s="55">
        <v>-6.8000000000000005E-3</v>
      </c>
      <c r="L450" s="55">
        <v>2.2000000000000001E-3</v>
      </c>
      <c r="M450" s="55">
        <v>0</v>
      </c>
      <c r="N450" s="70">
        <f t="shared" si="42"/>
        <v>1.4908548707753475E-3</v>
      </c>
      <c r="O450" s="70">
        <f t="shared" si="38"/>
        <v>-6.7083499005964218E-3</v>
      </c>
      <c r="P450" s="70">
        <f t="shared" si="39"/>
        <v>2.498409542743539E-3</v>
      </c>
      <c r="AI450" s="15">
        <v>41579</v>
      </c>
      <c r="AJ450" s="2">
        <v>71.430000000000007</v>
      </c>
      <c r="AK450" s="2">
        <v>33.64</v>
      </c>
      <c r="AL450" s="2">
        <v>170.12</v>
      </c>
      <c r="AM450" s="2">
        <v>80.164735152141802</v>
      </c>
      <c r="AN450" s="2">
        <v>44.280072041997492</v>
      </c>
    </row>
    <row r="451" spans="2:40" x14ac:dyDescent="0.35">
      <c r="B451" s="15">
        <v>41578</v>
      </c>
      <c r="C451" s="49" t="str">
        <f>$S$4</f>
        <v>AAPL</v>
      </c>
      <c r="D451" s="53">
        <f>CHOOSE($S$3,AJ451,AK451,AL451,AM451,AN451)</f>
        <v>71.8</v>
      </c>
      <c r="E451" s="55">
        <f t="shared" si="37"/>
        <v>-4.1695682367248917E-3</v>
      </c>
      <c r="F451" s="55">
        <f t="shared" si="40"/>
        <v>-4.1695682367248917E-3</v>
      </c>
      <c r="G451" s="70">
        <f t="shared" si="41"/>
        <v>-5.4845580796079683E-3</v>
      </c>
      <c r="H451" s="53"/>
      <c r="I451" s="15">
        <v>41578</v>
      </c>
      <c r="J451" s="55">
        <v>-3.4000000000000002E-3</v>
      </c>
      <c r="K451" s="55">
        <v>-8.9999999999999998E-4</v>
      </c>
      <c r="L451" s="55">
        <v>-4.3E-3</v>
      </c>
      <c r="M451" s="55">
        <v>0</v>
      </c>
      <c r="N451" s="70">
        <f t="shared" si="42"/>
        <v>-3.9091451292246528E-3</v>
      </c>
      <c r="O451" s="70">
        <f t="shared" si="38"/>
        <v>-8.0834990059642164E-4</v>
      </c>
      <c r="P451" s="70">
        <f t="shared" si="39"/>
        <v>-4.0015904572564612E-3</v>
      </c>
      <c r="AI451" s="15">
        <v>41578</v>
      </c>
      <c r="AJ451" s="2">
        <v>71.8</v>
      </c>
      <c r="AK451" s="2">
        <v>33.520000000000003</v>
      </c>
      <c r="AL451" s="2">
        <v>170.1</v>
      </c>
      <c r="AM451" s="2">
        <v>80.367645417371151</v>
      </c>
      <c r="AN451" s="2">
        <v>44.198491632858094</v>
      </c>
    </row>
    <row r="452" spans="2:40" x14ac:dyDescent="0.35">
      <c r="B452" s="15">
        <v>41577</v>
      </c>
      <c r="C452" s="49" t="str">
        <f>$S$4</f>
        <v>AAPL</v>
      </c>
      <c r="D452" s="53">
        <f>CHOOSE($S$3,AJ452,AK452,AL452,AM452,AN452)</f>
        <v>72.099999999999994</v>
      </c>
      <c r="E452" s="55">
        <f t="shared" si="37"/>
        <v>1.5796791754011788E-2</v>
      </c>
      <c r="F452" s="55">
        <f t="shared" si="40"/>
        <v>1.5796791754011788E-2</v>
      </c>
      <c r="G452" s="70">
        <f t="shared" si="41"/>
        <v>1.4481801911128711E-2</v>
      </c>
      <c r="H452" s="53"/>
      <c r="I452" s="15">
        <v>41577</v>
      </c>
      <c r="J452" s="55">
        <v>-6.0999999999999995E-3</v>
      </c>
      <c r="K452" s="55">
        <v>-7.7000000000000002E-3</v>
      </c>
      <c r="L452" s="55">
        <v>4.8999999999999998E-3</v>
      </c>
      <c r="M452" s="55">
        <v>0</v>
      </c>
      <c r="N452" s="70">
        <f t="shared" si="42"/>
        <v>-6.6091451292246521E-3</v>
      </c>
      <c r="O452" s="70">
        <f t="shared" si="38"/>
        <v>-7.6083499005964216E-3</v>
      </c>
      <c r="P452" s="70">
        <f t="shared" si="39"/>
        <v>5.1984095427435387E-3</v>
      </c>
      <c r="AI452" s="15">
        <v>41577</v>
      </c>
      <c r="AJ452" s="2">
        <v>72.099999999999994</v>
      </c>
      <c r="AK452" s="2">
        <v>33.65</v>
      </c>
      <c r="AL452" s="2">
        <v>171</v>
      </c>
      <c r="AM452" s="2">
        <v>80.748157216612569</v>
      </c>
      <c r="AN452" s="2">
        <v>44.401125958330105</v>
      </c>
    </row>
    <row r="453" spans="2:40" x14ac:dyDescent="0.35">
      <c r="B453" s="15">
        <v>41576</v>
      </c>
      <c r="C453" s="49" t="str">
        <f>$S$4</f>
        <v>AAPL</v>
      </c>
      <c r="D453" s="53">
        <f>CHOOSE($S$3,AJ453,AK453,AL453,AM453,AN453)</f>
        <v>70.97</v>
      </c>
      <c r="E453" s="55">
        <f t="shared" si="37"/>
        <v>-2.5183939647122212E-2</v>
      </c>
      <c r="F453" s="55">
        <f t="shared" si="40"/>
        <v>-2.5183939647122212E-2</v>
      </c>
      <c r="G453" s="70">
        <f t="shared" si="41"/>
        <v>-2.6498929490005291E-2</v>
      </c>
      <c r="H453" s="53"/>
      <c r="I453" s="15">
        <v>41576</v>
      </c>
      <c r="J453" s="55">
        <v>5.4000000000000003E-3</v>
      </c>
      <c r="K453" s="55">
        <v>-1.4000000000000002E-3</v>
      </c>
      <c r="L453" s="55">
        <v>-1.1000000000000001E-3</v>
      </c>
      <c r="M453" s="55">
        <v>0</v>
      </c>
      <c r="N453" s="70">
        <f t="shared" si="42"/>
        <v>4.8908548707753477E-3</v>
      </c>
      <c r="O453" s="70">
        <f t="shared" si="38"/>
        <v>-1.308349900596422E-3</v>
      </c>
      <c r="P453" s="70">
        <f t="shared" si="39"/>
        <v>-8.0159045725646124E-4</v>
      </c>
      <c r="AI453" s="15">
        <v>41576</v>
      </c>
      <c r="AJ453" s="2">
        <v>70.97</v>
      </c>
      <c r="AK453" s="2">
        <v>33.630000000000003</v>
      </c>
      <c r="AL453" s="2">
        <v>172.87</v>
      </c>
      <c r="AM453" s="2">
        <v>80.556905031703621</v>
      </c>
      <c r="AN453" s="2">
        <v>44.630709059284499</v>
      </c>
    </row>
    <row r="454" spans="2:40" x14ac:dyDescent="0.35">
      <c r="B454" s="15">
        <v>41575</v>
      </c>
      <c r="C454" s="49" t="str">
        <f>$S$4</f>
        <v>AAPL</v>
      </c>
      <c r="D454" s="53">
        <f>CHOOSE($S$3,AJ454,AK454,AL454,AM454,AN454)</f>
        <v>72.78</v>
      </c>
      <c r="E454" s="55">
        <f t="shared" si="37"/>
        <v>7.4472830752838597E-3</v>
      </c>
      <c r="F454" s="55">
        <f t="shared" si="40"/>
        <v>7.4472830752838597E-3</v>
      </c>
      <c r="G454" s="70">
        <f t="shared" si="41"/>
        <v>6.1322932324007831E-3</v>
      </c>
      <c r="H454" s="53"/>
      <c r="I454" s="15">
        <v>41575</v>
      </c>
      <c r="J454" s="55">
        <v>8.9999999999999998E-4</v>
      </c>
      <c r="K454" s="55">
        <v>-5.9999999999999995E-4</v>
      </c>
      <c r="L454" s="55">
        <v>2.0000000000000001E-4</v>
      </c>
      <c r="M454" s="55">
        <v>0</v>
      </c>
      <c r="N454" s="70">
        <f t="shared" si="42"/>
        <v>3.9085487077534739E-4</v>
      </c>
      <c r="O454" s="70">
        <f t="shared" si="38"/>
        <v>-5.0834990059642161E-4</v>
      </c>
      <c r="P454" s="70">
        <f t="shared" si="39"/>
        <v>4.9840954274353881E-4</v>
      </c>
      <c r="AI454" s="15">
        <v>41575</v>
      </c>
      <c r="AJ454" s="2">
        <v>72.78</v>
      </c>
      <c r="AK454" s="2">
        <v>33.68</v>
      </c>
      <c r="AL454" s="2">
        <v>168.34</v>
      </c>
      <c r="AM454" s="2">
        <v>80.528672716761008</v>
      </c>
      <c r="AN454" s="2">
        <v>44.07912047591136</v>
      </c>
    </row>
    <row r="455" spans="2:40" x14ac:dyDescent="0.35">
      <c r="B455" s="15">
        <v>41572</v>
      </c>
      <c r="C455" s="49" t="str">
        <f>$S$4</f>
        <v>AAPL</v>
      </c>
      <c r="D455" s="53">
        <f>CHOOSE($S$3,AJ455,AK455,AL455,AM455,AN455)</f>
        <v>72.239999999999995</v>
      </c>
      <c r="E455" s="55">
        <f t="shared" si="37"/>
        <v>-1.1287112258406616E-2</v>
      </c>
      <c r="F455" s="55">
        <f t="shared" si="40"/>
        <v>-1.1287112258406616E-2</v>
      </c>
      <c r="G455" s="70">
        <f t="shared" si="41"/>
        <v>-1.2602102101289692E-2</v>
      </c>
      <c r="H455" s="53"/>
      <c r="I455" s="15">
        <v>41572</v>
      </c>
      <c r="J455" s="55">
        <v>3.3E-3</v>
      </c>
      <c r="K455" s="55">
        <v>-3.4000000000000002E-3</v>
      </c>
      <c r="L455" s="55">
        <v>1.4000000000000002E-3</v>
      </c>
      <c r="M455" s="55">
        <v>0</v>
      </c>
      <c r="N455" s="70">
        <f t="shared" si="42"/>
        <v>2.7908548707753474E-3</v>
      </c>
      <c r="O455" s="70">
        <f t="shared" si="38"/>
        <v>-3.308349900596422E-3</v>
      </c>
      <c r="P455" s="70">
        <f t="shared" si="39"/>
        <v>1.698409542743539E-3</v>
      </c>
      <c r="AI455" s="15">
        <v>41572</v>
      </c>
      <c r="AJ455" s="2">
        <v>72.239999999999995</v>
      </c>
      <c r="AK455" s="2">
        <v>33.83</v>
      </c>
      <c r="AL455" s="2">
        <v>167.86</v>
      </c>
      <c r="AM455" s="2">
        <v>80.11511799996218</v>
      </c>
      <c r="AN455" s="2">
        <v>44.11443467237725</v>
      </c>
    </row>
    <row r="456" spans="2:40" x14ac:dyDescent="0.35">
      <c r="B456" s="15">
        <v>41571</v>
      </c>
      <c r="C456" s="49" t="str">
        <f>$S$4</f>
        <v>AAPL</v>
      </c>
      <c r="D456" s="53">
        <f>CHOOSE($S$3,AJ456,AK456,AL456,AM456,AN456)</f>
        <v>73.06</v>
      </c>
      <c r="E456" s="55">
        <f t="shared" si="37"/>
        <v>1.3088290438468405E-2</v>
      </c>
      <c r="F456" s="55">
        <f t="shared" si="40"/>
        <v>1.3088290438468405E-2</v>
      </c>
      <c r="G456" s="70">
        <f t="shared" si="41"/>
        <v>1.1773300595585328E-2</v>
      </c>
      <c r="H456" s="53"/>
      <c r="I456" s="15">
        <v>41571</v>
      </c>
      <c r="J456" s="55">
        <v>4.1999999999999997E-3</v>
      </c>
      <c r="K456" s="55">
        <v>4.0000000000000001E-3</v>
      </c>
      <c r="L456" s="55">
        <v>-3.0000000000000001E-3</v>
      </c>
      <c r="M456" s="55">
        <v>0</v>
      </c>
      <c r="N456" s="70">
        <f t="shared" si="42"/>
        <v>3.6908548707753472E-3</v>
      </c>
      <c r="O456" s="70">
        <f t="shared" si="38"/>
        <v>4.0916500994035787E-3</v>
      </c>
      <c r="P456" s="70">
        <f t="shared" si="39"/>
        <v>-2.7015904572564612E-3</v>
      </c>
      <c r="AI456" s="15">
        <v>41571</v>
      </c>
      <c r="AJ456" s="2">
        <v>73.06</v>
      </c>
      <c r="AK456" s="2">
        <v>31.92</v>
      </c>
      <c r="AL456" s="2">
        <v>168.77</v>
      </c>
      <c r="AM456" s="2">
        <v>80.78697284787475</v>
      </c>
      <c r="AN456" s="2">
        <v>42.988687676018557</v>
      </c>
    </row>
    <row r="457" spans="2:40" x14ac:dyDescent="0.35">
      <c r="B457" s="15">
        <v>41570</v>
      </c>
      <c r="C457" s="49" t="str">
        <f>$S$4</f>
        <v>AAPL</v>
      </c>
      <c r="D457" s="53">
        <f>CHOOSE($S$3,AJ457,AK457,AL457,AM457,AN457)</f>
        <v>72.11</v>
      </c>
      <c r="E457" s="55">
        <f t="shared" si="37"/>
        <v>9.7548153676495272E-3</v>
      </c>
      <c r="F457" s="55">
        <f t="shared" si="40"/>
        <v>9.7548153676495272E-3</v>
      </c>
      <c r="G457" s="70">
        <f t="shared" si="41"/>
        <v>8.4398255247664505E-3</v>
      </c>
      <c r="H457" s="53"/>
      <c r="I457" s="15">
        <v>41570</v>
      </c>
      <c r="J457" s="55">
        <v>-5.1000000000000004E-3</v>
      </c>
      <c r="K457" s="55">
        <v>1.6000000000000001E-3</v>
      </c>
      <c r="L457" s="55">
        <v>-3.3E-3</v>
      </c>
      <c r="M457" s="55">
        <v>0</v>
      </c>
      <c r="N457" s="70">
        <f t="shared" si="42"/>
        <v>-5.609145129224653E-3</v>
      </c>
      <c r="O457" s="70">
        <f t="shared" si="38"/>
        <v>1.6916500994035783E-3</v>
      </c>
      <c r="P457" s="70">
        <f t="shared" si="39"/>
        <v>-3.0015904572564612E-3</v>
      </c>
      <c r="AI457" s="15">
        <v>41570</v>
      </c>
      <c r="AJ457" s="2">
        <v>72.11</v>
      </c>
      <c r="AK457" s="2">
        <v>31.96</v>
      </c>
      <c r="AL457" s="2">
        <v>166.84</v>
      </c>
      <c r="AM457" s="2">
        <v>79.799808837166267</v>
      </c>
      <c r="AN457" s="2">
        <v>42.769820469568984</v>
      </c>
    </row>
    <row r="458" spans="2:40" x14ac:dyDescent="0.35">
      <c r="B458" s="15">
        <v>41569</v>
      </c>
      <c r="C458" s="49" t="str">
        <f>$S$4</f>
        <v>AAPL</v>
      </c>
      <c r="D458" s="53">
        <f>CHOOSE($S$3,AJ458,AK458,AL458,AM458,AN458)</f>
        <v>71.41</v>
      </c>
      <c r="E458" s="55">
        <f t="shared" si="37"/>
        <v>-2.7968134578298357E-3</v>
      </c>
      <c r="F458" s="55">
        <f t="shared" si="40"/>
        <v>-2.7968134578298357E-3</v>
      </c>
      <c r="G458" s="70">
        <f t="shared" si="41"/>
        <v>-4.1118033007129127E-3</v>
      </c>
      <c r="H458" s="53"/>
      <c r="I458" s="15">
        <v>41569</v>
      </c>
      <c r="J458" s="55">
        <v>5.0000000000000001E-3</v>
      </c>
      <c r="K458" s="55">
        <v>-2.8000000000000004E-3</v>
      </c>
      <c r="L458" s="55">
        <v>8.9999999999999998E-4</v>
      </c>
      <c r="M458" s="55">
        <v>0</v>
      </c>
      <c r="N458" s="70">
        <f t="shared" si="42"/>
        <v>4.4908548707753475E-3</v>
      </c>
      <c r="O458" s="70">
        <f t="shared" si="38"/>
        <v>-2.7083499005964222E-3</v>
      </c>
      <c r="P458" s="70">
        <f t="shared" si="39"/>
        <v>1.1984095427435388E-3</v>
      </c>
      <c r="AI458" s="15">
        <v>41569</v>
      </c>
      <c r="AJ458" s="2">
        <v>71.41</v>
      </c>
      <c r="AK458" s="2">
        <v>32.74</v>
      </c>
      <c r="AL458" s="2">
        <v>166.08</v>
      </c>
      <c r="AM458" s="2">
        <v>79.230730305324059</v>
      </c>
      <c r="AN458" s="2">
        <v>43.194316163274109</v>
      </c>
    </row>
    <row r="459" spans="2:40" x14ac:dyDescent="0.35">
      <c r="B459" s="15">
        <v>41568</v>
      </c>
      <c r="C459" s="49" t="str">
        <f>$S$4</f>
        <v>AAPL</v>
      </c>
      <c r="D459" s="53">
        <f>CHOOSE($S$3,AJ459,AK459,AL459,AM459,AN459)</f>
        <v>71.61</v>
      </c>
      <c r="E459" s="55">
        <f t="shared" si="37"/>
        <v>2.4169079779083828E-2</v>
      </c>
      <c r="F459" s="55">
        <f t="shared" si="40"/>
        <v>2.4169079779083828E-2</v>
      </c>
      <c r="G459" s="70">
        <f t="shared" si="41"/>
        <v>2.285408993620075E-2</v>
      </c>
      <c r="H459" s="53"/>
      <c r="I459" s="15">
        <v>41568</v>
      </c>
      <c r="J459" s="55">
        <v>-2.0000000000000001E-4</v>
      </c>
      <c r="K459" s="55">
        <v>-1.1999999999999999E-3</v>
      </c>
      <c r="L459" s="55">
        <v>5.0000000000000001E-4</v>
      </c>
      <c r="M459" s="55">
        <v>0</v>
      </c>
      <c r="N459" s="70">
        <f t="shared" si="42"/>
        <v>-7.0914512922465257E-4</v>
      </c>
      <c r="O459" s="70">
        <f t="shared" si="38"/>
        <v>-1.1083499005964217E-3</v>
      </c>
      <c r="P459" s="70">
        <f t="shared" si="39"/>
        <v>7.9840954274353884E-4</v>
      </c>
      <c r="AI459" s="15">
        <v>41568</v>
      </c>
      <c r="AJ459" s="2">
        <v>71.61</v>
      </c>
      <c r="AK459" s="2">
        <v>33.130000000000003</v>
      </c>
      <c r="AL459" s="2">
        <v>164.08</v>
      </c>
      <c r="AM459" s="2">
        <v>78.864618529372294</v>
      </c>
      <c r="AN459" s="2">
        <v>43.191500865708612</v>
      </c>
    </row>
    <row r="460" spans="2:40" x14ac:dyDescent="0.35">
      <c r="B460" s="15">
        <v>41565</v>
      </c>
      <c r="C460" s="49" t="str">
        <f>$S$4</f>
        <v>AAPL</v>
      </c>
      <c r="D460" s="53">
        <f>CHOOSE($S$3,AJ460,AK460,AL460,AM460,AN460)</f>
        <v>69.900000000000006</v>
      </c>
      <c r="E460" s="55">
        <f t="shared" ref="E460:E514" si="43">LN(D460/D461)</f>
        <v>8.6207430439071749E-3</v>
      </c>
      <c r="F460" s="55">
        <f t="shared" si="40"/>
        <v>8.6207430439071749E-3</v>
      </c>
      <c r="G460" s="70">
        <f t="shared" si="41"/>
        <v>7.3057532010240983E-3</v>
      </c>
      <c r="H460" s="53"/>
      <c r="I460" s="15">
        <v>41565</v>
      </c>
      <c r="J460" s="55">
        <v>7.3000000000000001E-3</v>
      </c>
      <c r="K460" s="55">
        <v>3.4000000000000002E-3</v>
      </c>
      <c r="L460" s="55">
        <v>-5.0000000000000001E-4</v>
      </c>
      <c r="M460" s="55">
        <v>0</v>
      </c>
      <c r="N460" s="70">
        <f t="shared" si="42"/>
        <v>6.7908548707753475E-3</v>
      </c>
      <c r="O460" s="70">
        <f t="shared" ref="O460:O491" si="44">K460-K$10</f>
        <v>3.4916500994035785E-3</v>
      </c>
      <c r="P460" s="70">
        <f t="shared" ref="P460:P491" si="45">L460-L$10</f>
        <v>-2.0159045725646118E-4</v>
      </c>
      <c r="AI460" s="15">
        <v>41565</v>
      </c>
      <c r="AJ460" s="2">
        <v>69.900000000000006</v>
      </c>
      <c r="AK460" s="2">
        <v>33.1</v>
      </c>
      <c r="AL460" s="2">
        <v>164.95</v>
      </c>
      <c r="AM460" s="2">
        <v>78.132082355529477</v>
      </c>
      <c r="AN460" s="2">
        <v>43.286452367352268</v>
      </c>
    </row>
    <row r="461" spans="2:40" x14ac:dyDescent="0.35">
      <c r="B461" s="15">
        <v>41564</v>
      </c>
      <c r="C461" s="49" t="str">
        <f>$S$4</f>
        <v>AAPL</v>
      </c>
      <c r="D461" s="53">
        <f>CHOOSE($S$3,AJ461,AK461,AL461,AM461,AN461)</f>
        <v>69.3</v>
      </c>
      <c r="E461" s="55">
        <f t="shared" si="43"/>
        <v>6.8052097855846325E-3</v>
      </c>
      <c r="F461" s="55">
        <f t="shared" ref="F461:F514" si="46">E461-M461</f>
        <v>6.8052097855846325E-3</v>
      </c>
      <c r="G461" s="70">
        <f t="shared" ref="G461:G514" si="47">F461-$F$10</f>
        <v>5.490219942701555E-3</v>
      </c>
      <c r="H461" s="53"/>
      <c r="I461" s="15">
        <v>41564</v>
      </c>
      <c r="J461" s="55">
        <v>6.9999999999999993E-3</v>
      </c>
      <c r="K461" s="55">
        <v>1.6000000000000001E-3</v>
      </c>
      <c r="L461" s="55">
        <v>4.0000000000000002E-4</v>
      </c>
      <c r="M461" s="55">
        <v>0</v>
      </c>
      <c r="N461" s="70">
        <f t="shared" ref="N461:N492" si="48">J461-J$10</f>
        <v>6.4908548707753467E-3</v>
      </c>
      <c r="O461" s="70">
        <f t="shared" si="44"/>
        <v>1.6916500994035783E-3</v>
      </c>
      <c r="P461" s="70">
        <f t="shared" si="45"/>
        <v>6.9840954274353879E-4</v>
      </c>
      <c r="AI461" s="15">
        <v>41564</v>
      </c>
      <c r="AJ461" s="2">
        <v>69.3</v>
      </c>
      <c r="AK461" s="2">
        <v>33.06</v>
      </c>
      <c r="AL461" s="2">
        <v>165.95</v>
      </c>
      <c r="AM461" s="2">
        <v>78.033587184275191</v>
      </c>
      <c r="AN461" s="2">
        <v>43.391508239876082</v>
      </c>
    </row>
    <row r="462" spans="2:40" x14ac:dyDescent="0.35">
      <c r="B462" s="15">
        <v>41563</v>
      </c>
      <c r="C462" s="49" t="str">
        <f>$S$4</f>
        <v>AAPL</v>
      </c>
      <c r="D462" s="53">
        <f>CHOOSE($S$3,AJ462,AK462,AL462,AM462,AN462)</f>
        <v>68.83</v>
      </c>
      <c r="E462" s="55">
        <f t="shared" si="43"/>
        <v>4.8059511420931499E-3</v>
      </c>
      <c r="F462" s="55">
        <f t="shared" si="46"/>
        <v>4.8059511420931499E-3</v>
      </c>
      <c r="G462" s="70">
        <f t="shared" si="47"/>
        <v>3.4909612992100728E-3</v>
      </c>
      <c r="H462" s="53"/>
      <c r="I462" s="15">
        <v>41563</v>
      </c>
      <c r="J462" s="55">
        <v>1.37E-2</v>
      </c>
      <c r="K462" s="55">
        <v>-3.2000000000000002E-3</v>
      </c>
      <c r="L462" s="55">
        <v>1.4000000000000002E-3</v>
      </c>
      <c r="M462" s="55">
        <v>0</v>
      </c>
      <c r="N462" s="70">
        <f t="shared" si="48"/>
        <v>1.3190854870775348E-2</v>
      </c>
      <c r="O462" s="70">
        <f t="shared" si="44"/>
        <v>-3.1083499005964219E-3</v>
      </c>
      <c r="P462" s="70">
        <f t="shared" si="45"/>
        <v>1.698409542743539E-3</v>
      </c>
      <c r="AI462" s="15">
        <v>41563</v>
      </c>
      <c r="AJ462" s="2">
        <v>68.83</v>
      </c>
      <c r="AK462" s="2">
        <v>32.799999999999997</v>
      </c>
      <c r="AL462" s="2">
        <v>177.24</v>
      </c>
      <c r="AM462" s="2">
        <v>80.423382691510284</v>
      </c>
      <c r="AN462" s="2">
        <v>44.69689948270905</v>
      </c>
    </row>
    <row r="463" spans="2:40" x14ac:dyDescent="0.35">
      <c r="B463" s="15">
        <v>41562</v>
      </c>
      <c r="C463" s="49" t="str">
        <f>$S$4</f>
        <v>AAPL</v>
      </c>
      <c r="D463" s="53">
        <f>CHOOSE($S$3,AJ463,AK463,AL463,AM463,AN463)</f>
        <v>68.5</v>
      </c>
      <c r="E463" s="55">
        <f t="shared" si="43"/>
        <v>5.4161004826029421E-3</v>
      </c>
      <c r="F463" s="55">
        <f t="shared" si="46"/>
        <v>5.4161004826029421E-3</v>
      </c>
      <c r="G463" s="70">
        <f t="shared" si="47"/>
        <v>4.1011106397198654E-3</v>
      </c>
      <c r="H463" s="53"/>
      <c r="I463" s="15">
        <v>41562</v>
      </c>
      <c r="J463" s="55">
        <v>-7.3000000000000001E-3</v>
      </c>
      <c r="K463" s="55">
        <v>-1.9E-3</v>
      </c>
      <c r="L463" s="55">
        <v>1E-4</v>
      </c>
      <c r="M463" s="55">
        <v>0</v>
      </c>
      <c r="N463" s="70">
        <f t="shared" si="48"/>
        <v>-7.8091451292246527E-3</v>
      </c>
      <c r="O463" s="70">
        <f t="shared" si="44"/>
        <v>-1.8083499005964218E-3</v>
      </c>
      <c r="P463" s="70">
        <f t="shared" si="45"/>
        <v>3.9840954274353882E-4</v>
      </c>
      <c r="AI463" s="15">
        <v>41562</v>
      </c>
      <c r="AJ463" s="2">
        <v>68.5</v>
      </c>
      <c r="AK463" s="2">
        <v>32.65</v>
      </c>
      <c r="AL463" s="2">
        <v>175.28</v>
      </c>
      <c r="AM463" s="2">
        <v>79.785911861358358</v>
      </c>
      <c r="AN463" s="2">
        <v>44.347556951809125</v>
      </c>
    </row>
    <row r="464" spans="2:40" x14ac:dyDescent="0.35">
      <c r="B464" s="15">
        <v>41561</v>
      </c>
      <c r="C464" s="49" t="str">
        <f>$S$4</f>
        <v>AAPL</v>
      </c>
      <c r="D464" s="53">
        <f>CHOOSE($S$3,AJ464,AK464,AL464,AM464,AN464)</f>
        <v>68.13</v>
      </c>
      <c r="E464" s="55">
        <f t="shared" si="43"/>
        <v>6.4791862650604741E-3</v>
      </c>
      <c r="F464" s="55">
        <f t="shared" si="46"/>
        <v>6.4791862650604741E-3</v>
      </c>
      <c r="G464" s="70">
        <f t="shared" si="47"/>
        <v>5.1641964221773966E-3</v>
      </c>
      <c r="H464" s="53"/>
      <c r="I464" s="15">
        <v>41561</v>
      </c>
      <c r="J464" s="55">
        <v>4.4000000000000003E-3</v>
      </c>
      <c r="K464" s="55">
        <v>2.3E-3</v>
      </c>
      <c r="L464" s="55">
        <v>-1.1000000000000001E-3</v>
      </c>
      <c r="M464" s="55">
        <v>0</v>
      </c>
      <c r="N464" s="70">
        <f t="shared" si="48"/>
        <v>3.8908548707753477E-3</v>
      </c>
      <c r="O464" s="70">
        <f t="shared" si="44"/>
        <v>2.3916500994035782E-3</v>
      </c>
      <c r="P464" s="70">
        <f t="shared" si="45"/>
        <v>-8.0159045725646124E-4</v>
      </c>
      <c r="AI464" s="15">
        <v>41561</v>
      </c>
      <c r="AJ464" s="2">
        <v>68.13</v>
      </c>
      <c r="AK464" s="2">
        <v>32.619999999999997</v>
      </c>
      <c r="AL464" s="2">
        <v>177.47</v>
      </c>
      <c r="AM464" s="2">
        <v>80.068866014979079</v>
      </c>
      <c r="AN464" s="2">
        <v>44.604228608816484</v>
      </c>
    </row>
    <row r="465" spans="2:40" x14ac:dyDescent="0.35">
      <c r="B465" s="15">
        <v>41558</v>
      </c>
      <c r="C465" s="49" t="str">
        <f>$S$4</f>
        <v>AAPL</v>
      </c>
      <c r="D465" s="53">
        <f>CHOOSE($S$3,AJ465,AK465,AL465,AM465,AN465)</f>
        <v>67.69</v>
      </c>
      <c r="E465" s="55">
        <f t="shared" si="43"/>
        <v>6.5214400385678137E-3</v>
      </c>
      <c r="F465" s="55">
        <f t="shared" si="46"/>
        <v>6.5214400385678137E-3</v>
      </c>
      <c r="G465" s="70">
        <f t="shared" si="47"/>
        <v>5.2064501956847371E-3</v>
      </c>
      <c r="H465" s="53"/>
      <c r="I465" s="15">
        <v>41558</v>
      </c>
      <c r="J465" s="55">
        <v>7.0999999999999995E-3</v>
      </c>
      <c r="K465" s="55">
        <v>7.9000000000000008E-3</v>
      </c>
      <c r="L465" s="55">
        <v>0</v>
      </c>
      <c r="M465" s="55">
        <v>0</v>
      </c>
      <c r="N465" s="70">
        <f t="shared" si="48"/>
        <v>6.590854870775347E-3</v>
      </c>
      <c r="O465" s="70">
        <f t="shared" si="44"/>
        <v>7.9916500994035786E-3</v>
      </c>
      <c r="P465" s="70">
        <f t="shared" si="45"/>
        <v>2.9840954274353883E-4</v>
      </c>
      <c r="AI465" s="15">
        <v>41558</v>
      </c>
      <c r="AJ465" s="2">
        <v>67.69</v>
      </c>
      <c r="AK465" s="2">
        <v>32.31</v>
      </c>
      <c r="AL465" s="2">
        <v>176.7</v>
      </c>
      <c r="AM465" s="2">
        <v>79.636614118580809</v>
      </c>
      <c r="AN465" s="2">
        <v>44.295519762045899</v>
      </c>
    </row>
    <row r="466" spans="2:40" x14ac:dyDescent="0.35">
      <c r="B466" s="15">
        <v>41557</v>
      </c>
      <c r="C466" s="49" t="str">
        <f>$S$4</f>
        <v>AAPL</v>
      </c>
      <c r="D466" s="53">
        <f>CHOOSE($S$3,AJ466,AK466,AL466,AM466,AN466)</f>
        <v>67.25</v>
      </c>
      <c r="E466" s="55">
        <f t="shared" si="43"/>
        <v>6.1153147547554519E-3</v>
      </c>
      <c r="F466" s="55">
        <f t="shared" si="46"/>
        <v>6.1153147547554519E-3</v>
      </c>
      <c r="G466" s="70">
        <f t="shared" si="47"/>
        <v>4.8003249118723744E-3</v>
      </c>
      <c r="H466" s="53"/>
      <c r="I466" s="15">
        <v>41557</v>
      </c>
      <c r="J466" s="55">
        <v>2.23E-2</v>
      </c>
      <c r="K466" s="55">
        <v>1.6000000000000001E-3</v>
      </c>
      <c r="L466" s="55">
        <v>-2.0000000000000001E-4</v>
      </c>
      <c r="M466" s="55">
        <v>0</v>
      </c>
      <c r="N466" s="70">
        <f t="shared" si="48"/>
        <v>2.1790854870775346E-2</v>
      </c>
      <c r="O466" s="70">
        <f t="shared" si="44"/>
        <v>1.6916500994035783E-3</v>
      </c>
      <c r="P466" s="70">
        <f t="shared" si="45"/>
        <v>9.8409542743538818E-5</v>
      </c>
      <c r="AI466" s="15">
        <v>41557</v>
      </c>
      <c r="AJ466" s="2">
        <v>67.25</v>
      </c>
      <c r="AK466" s="2">
        <v>31.96</v>
      </c>
      <c r="AL466" s="2">
        <v>175.38</v>
      </c>
      <c r="AM466" s="2">
        <v>79.080332052736438</v>
      </c>
      <c r="AN466" s="2">
        <v>43.890152674887872</v>
      </c>
    </row>
    <row r="467" spans="2:40" x14ac:dyDescent="0.35">
      <c r="B467" s="15">
        <v>41556</v>
      </c>
      <c r="C467" s="49" t="str">
        <f>$S$4</f>
        <v>AAPL</v>
      </c>
      <c r="D467" s="53">
        <f>CHOOSE($S$3,AJ467,AK467,AL467,AM467,AN467)</f>
        <v>66.84</v>
      </c>
      <c r="E467" s="55">
        <f t="shared" si="43"/>
        <v>1.1738283764549431E-2</v>
      </c>
      <c r="F467" s="55">
        <f t="shared" si="46"/>
        <v>1.1738283764549431E-2</v>
      </c>
      <c r="G467" s="70">
        <f t="shared" si="47"/>
        <v>1.0423293921666354E-2</v>
      </c>
      <c r="H467" s="53"/>
      <c r="I467" s="15">
        <v>41556</v>
      </c>
      <c r="J467" s="55">
        <v>-5.0000000000000001E-4</v>
      </c>
      <c r="K467" s="55">
        <v>-4.4000000000000003E-3</v>
      </c>
      <c r="L467" s="55">
        <v>6.1999999999999998E-3</v>
      </c>
      <c r="M467" s="55">
        <v>0</v>
      </c>
      <c r="N467" s="70">
        <f t="shared" si="48"/>
        <v>-1.0091451292246526E-3</v>
      </c>
      <c r="O467" s="70">
        <f t="shared" si="44"/>
        <v>-4.3083499005964216E-3</v>
      </c>
      <c r="P467" s="70">
        <f t="shared" si="45"/>
        <v>6.4984095427435386E-3</v>
      </c>
      <c r="AI467" s="15">
        <v>41556</v>
      </c>
      <c r="AJ467" s="2">
        <v>66.84</v>
      </c>
      <c r="AK467" s="2">
        <v>31.31</v>
      </c>
      <c r="AL467" s="2">
        <v>172.11</v>
      </c>
      <c r="AM467" s="2">
        <v>78.102033939307759</v>
      </c>
      <c r="AN467" s="2">
        <v>43.034664474261056</v>
      </c>
    </row>
    <row r="468" spans="2:40" x14ac:dyDescent="0.35">
      <c r="B468" s="15">
        <v>41555</v>
      </c>
      <c r="C468" s="49" t="str">
        <f>$S$4</f>
        <v>AAPL</v>
      </c>
      <c r="D468" s="53">
        <f>CHOOSE($S$3,AJ468,AK468,AL468,AM468,AN468)</f>
        <v>66.06</v>
      </c>
      <c r="E468" s="55">
        <f t="shared" si="43"/>
        <v>-1.4129199428322419E-2</v>
      </c>
      <c r="F468" s="55">
        <f t="shared" si="46"/>
        <v>-1.4129199428322419E-2</v>
      </c>
      <c r="G468" s="70">
        <f t="shared" si="47"/>
        <v>-1.5444189271205496E-2</v>
      </c>
      <c r="H468" s="53"/>
      <c r="I468" s="15">
        <v>41555</v>
      </c>
      <c r="J468" s="55">
        <v>-1.3500000000000002E-2</v>
      </c>
      <c r="K468" s="55">
        <v>-4.6999999999999993E-3</v>
      </c>
      <c r="L468" s="55">
        <v>7.6E-3</v>
      </c>
      <c r="M468" s="55">
        <v>0</v>
      </c>
      <c r="N468" s="70">
        <f t="shared" si="48"/>
        <v>-1.4009145129224654E-2</v>
      </c>
      <c r="O468" s="70">
        <f t="shared" si="44"/>
        <v>-4.6083499005964207E-3</v>
      </c>
      <c r="P468" s="70">
        <f t="shared" si="45"/>
        <v>7.8984095427435397E-3</v>
      </c>
      <c r="AI468" s="15">
        <v>41555</v>
      </c>
      <c r="AJ468" s="2">
        <v>66.06</v>
      </c>
      <c r="AK468" s="2">
        <v>31.25</v>
      </c>
      <c r="AL468" s="2">
        <v>169.64</v>
      </c>
      <c r="AM468" s="2">
        <v>77.085889541176016</v>
      </c>
      <c r="AN468" s="2">
        <v>42.684628956140855</v>
      </c>
    </row>
    <row r="469" spans="2:40" x14ac:dyDescent="0.35">
      <c r="B469" s="15">
        <v>41554</v>
      </c>
      <c r="C469" s="49" t="str">
        <f>$S$4</f>
        <v>AAPL</v>
      </c>
      <c r="D469" s="53">
        <f>CHOOSE($S$3,AJ469,AK469,AL469,AM469,AN469)</f>
        <v>67</v>
      </c>
      <c r="E469" s="55">
        <f t="shared" si="43"/>
        <v>9.7488586127496748E-3</v>
      </c>
      <c r="F469" s="55">
        <f t="shared" si="46"/>
        <v>9.7488586127496748E-3</v>
      </c>
      <c r="G469" s="70">
        <f t="shared" si="47"/>
        <v>8.4338687698665982E-3</v>
      </c>
      <c r="H469" s="53"/>
      <c r="I469" s="15">
        <v>41554</v>
      </c>
      <c r="J469" s="55">
        <v>-9.4999999999999998E-3</v>
      </c>
      <c r="K469" s="55">
        <v>-2.7000000000000001E-3</v>
      </c>
      <c r="L469" s="55">
        <v>0</v>
      </c>
      <c r="M469" s="55">
        <v>0</v>
      </c>
      <c r="N469" s="70">
        <f t="shared" si="48"/>
        <v>-1.0009145129224652E-2</v>
      </c>
      <c r="O469" s="70">
        <f t="shared" si="44"/>
        <v>-2.6083499005964219E-3</v>
      </c>
      <c r="P469" s="70">
        <f t="shared" si="45"/>
        <v>2.9840954274353883E-4</v>
      </c>
      <c r="AI469" s="15">
        <v>41554</v>
      </c>
      <c r="AJ469" s="2">
        <v>67</v>
      </c>
      <c r="AK469" s="2">
        <v>31.53</v>
      </c>
      <c r="AL469" s="2">
        <v>172.76</v>
      </c>
      <c r="AM469" s="2">
        <v>78.343213475132472</v>
      </c>
      <c r="AN469" s="2">
        <v>43.268381566462693</v>
      </c>
    </row>
    <row r="470" spans="2:40" x14ac:dyDescent="0.35">
      <c r="B470" s="15">
        <v>41551</v>
      </c>
      <c r="C470" s="49" t="str">
        <f>$S$4</f>
        <v>AAPL</v>
      </c>
      <c r="D470" s="53">
        <f>CHOOSE($S$3,AJ470,AK470,AL470,AM470,AN470)</f>
        <v>66.349999999999994</v>
      </c>
      <c r="E470" s="55">
        <f t="shared" si="43"/>
        <v>-7.5329570417177229E-4</v>
      </c>
      <c r="F470" s="55">
        <f t="shared" si="46"/>
        <v>-7.5329570417177229E-4</v>
      </c>
      <c r="G470" s="70">
        <f t="shared" si="47"/>
        <v>-2.0682855470548493E-3</v>
      </c>
      <c r="H470" s="53"/>
      <c r="I470" s="15">
        <v>41551</v>
      </c>
      <c r="J470" s="55">
        <v>7.4000000000000003E-3</v>
      </c>
      <c r="K470" s="55">
        <v>-2.0000000000000001E-4</v>
      </c>
      <c r="L470" s="55">
        <v>1E-3</v>
      </c>
      <c r="M470" s="55">
        <v>0</v>
      </c>
      <c r="N470" s="70">
        <f t="shared" si="48"/>
        <v>6.8908548707753477E-3</v>
      </c>
      <c r="O470" s="70">
        <f t="shared" si="44"/>
        <v>-1.083499005964217E-4</v>
      </c>
      <c r="P470" s="70">
        <f t="shared" si="45"/>
        <v>1.2984095427435388E-3</v>
      </c>
      <c r="AI470" s="15">
        <v>41551</v>
      </c>
      <c r="AJ470" s="2">
        <v>66.349999999999994</v>
      </c>
      <c r="AK470" s="2">
        <v>32.08</v>
      </c>
      <c r="AL470" s="2">
        <v>174.75</v>
      </c>
      <c r="AM470" s="2">
        <v>78.414403074657272</v>
      </c>
      <c r="AN470" s="2">
        <v>43.894963429143985</v>
      </c>
    </row>
    <row r="471" spans="2:40" x14ac:dyDescent="0.35">
      <c r="B471" s="15">
        <v>41550</v>
      </c>
      <c r="C471" s="49" t="str">
        <f>$S$4</f>
        <v>AAPL</v>
      </c>
      <c r="D471" s="53">
        <f>CHOOSE($S$3,AJ471,AK471,AL471,AM471,AN471)</f>
        <v>66.400000000000006</v>
      </c>
      <c r="E471" s="55">
        <f t="shared" si="43"/>
        <v>-1.2571252058026568E-2</v>
      </c>
      <c r="F471" s="55">
        <f t="shared" si="46"/>
        <v>-1.2571252058026568E-2</v>
      </c>
      <c r="G471" s="70">
        <f t="shared" si="47"/>
        <v>-1.3886241900909644E-2</v>
      </c>
      <c r="H471" s="53"/>
      <c r="I471" s="15">
        <v>41550</v>
      </c>
      <c r="J471" s="55">
        <v>-8.8000000000000005E-3</v>
      </c>
      <c r="K471" s="55">
        <v>-1.9E-3</v>
      </c>
      <c r="L471" s="55">
        <v>2E-3</v>
      </c>
      <c r="M471" s="55">
        <v>0</v>
      </c>
      <c r="N471" s="70">
        <f t="shared" si="48"/>
        <v>-9.3091451292246531E-3</v>
      </c>
      <c r="O471" s="70">
        <f t="shared" si="44"/>
        <v>-1.8083499005964218E-3</v>
      </c>
      <c r="P471" s="70">
        <f t="shared" si="45"/>
        <v>2.2984095427435389E-3</v>
      </c>
      <c r="AI471" s="15">
        <v>41550</v>
      </c>
      <c r="AJ471" s="2">
        <v>66.400000000000006</v>
      </c>
      <c r="AK471" s="2">
        <v>32.06</v>
      </c>
      <c r="AL471" s="2">
        <v>174.52</v>
      </c>
      <c r="AM471" s="2">
        <v>78.392345634380092</v>
      </c>
      <c r="AN471" s="2">
        <v>43.852393932343212</v>
      </c>
    </row>
    <row r="472" spans="2:40" x14ac:dyDescent="0.35">
      <c r="B472" s="15">
        <v>41549</v>
      </c>
      <c r="C472" s="49" t="str">
        <f>$S$4</f>
        <v>AAPL</v>
      </c>
      <c r="D472" s="53">
        <f>CHOOSE($S$3,AJ472,AK472,AL472,AM472,AN472)</f>
        <v>67.239999999999995</v>
      </c>
      <c r="E472" s="55">
        <f t="shared" si="43"/>
        <v>3.2772262312503906E-3</v>
      </c>
      <c r="F472" s="55">
        <f t="shared" si="46"/>
        <v>3.2772262312503906E-3</v>
      </c>
      <c r="G472" s="70">
        <f t="shared" si="47"/>
        <v>1.9622363883673136E-3</v>
      </c>
      <c r="H472" s="53"/>
      <c r="I472" s="15">
        <v>41549</v>
      </c>
      <c r="J472" s="55">
        <v>-1E-3</v>
      </c>
      <c r="K472" s="55">
        <v>-3.5999999999999999E-3</v>
      </c>
      <c r="L472" s="55">
        <v>-8.0000000000000004E-4</v>
      </c>
      <c r="M472" s="55">
        <v>0</v>
      </c>
      <c r="N472" s="70">
        <f t="shared" si="48"/>
        <v>-1.5091451292246526E-3</v>
      </c>
      <c r="O472" s="70">
        <f t="shared" si="44"/>
        <v>-3.5083499005964217E-3</v>
      </c>
      <c r="P472" s="70">
        <f t="shared" si="45"/>
        <v>-5.0159045725646121E-4</v>
      </c>
      <c r="AI472" s="15">
        <v>41549</v>
      </c>
      <c r="AJ472" s="2">
        <v>67.239999999999995</v>
      </c>
      <c r="AK472" s="2">
        <v>32.11</v>
      </c>
      <c r="AL472" s="2">
        <v>175.56</v>
      </c>
      <c r="AM472" s="2">
        <v>79.121778759153216</v>
      </c>
      <c r="AN472" s="2">
        <v>44.017252143642331</v>
      </c>
    </row>
    <row r="473" spans="2:40" x14ac:dyDescent="0.35">
      <c r="B473" s="15">
        <v>41548</v>
      </c>
      <c r="C473" s="49" t="str">
        <f>$S$4</f>
        <v>AAPL</v>
      </c>
      <c r="D473" s="53">
        <f>CHOOSE($S$3,AJ473,AK473,AL473,AM473,AN473)</f>
        <v>67.02</v>
      </c>
      <c r="E473" s="55">
        <f t="shared" si="43"/>
        <v>2.3246329806229978E-2</v>
      </c>
      <c r="F473" s="55">
        <f t="shared" si="46"/>
        <v>2.3246329806229978E-2</v>
      </c>
      <c r="G473" s="70">
        <f t="shared" si="47"/>
        <v>2.19313399633469E-2</v>
      </c>
      <c r="H473" s="53"/>
      <c r="I473" s="15">
        <v>41548</v>
      </c>
      <c r="J473" s="55">
        <v>9.0000000000000011E-3</v>
      </c>
      <c r="K473" s="55">
        <v>4.0999999999999995E-3</v>
      </c>
      <c r="L473" s="55">
        <v>-1.2999999999999999E-3</v>
      </c>
      <c r="M473" s="55">
        <v>0</v>
      </c>
      <c r="N473" s="70">
        <f t="shared" si="48"/>
        <v>8.4908548707753485E-3</v>
      </c>
      <c r="O473" s="70">
        <f t="shared" si="44"/>
        <v>4.1916500994035781E-3</v>
      </c>
      <c r="P473" s="70">
        <f t="shared" si="45"/>
        <v>-1.0015904572564611E-3</v>
      </c>
      <c r="AI473" s="15">
        <v>41548</v>
      </c>
      <c r="AJ473" s="2">
        <v>67.02</v>
      </c>
      <c r="AK473" s="2">
        <v>31.79</v>
      </c>
      <c r="AL473" s="2">
        <v>176.91</v>
      </c>
      <c r="AM473" s="2">
        <v>79.296551519112739</v>
      </c>
      <c r="AN473" s="2">
        <v>43.967159101777646</v>
      </c>
    </row>
    <row r="474" spans="2:40" x14ac:dyDescent="0.35">
      <c r="B474" s="15">
        <v>41547</v>
      </c>
      <c r="C474" s="49" t="str">
        <f>$S$4</f>
        <v>AAPL</v>
      </c>
      <c r="D474" s="53">
        <f>CHOOSE($S$3,AJ474,AK474,AL474,AM474,AN474)</f>
        <v>65.48</v>
      </c>
      <c r="E474" s="55">
        <f t="shared" si="43"/>
        <v>-1.2595962877842122E-2</v>
      </c>
      <c r="F474" s="55">
        <f t="shared" si="46"/>
        <v>-1.2595962877842122E-2</v>
      </c>
      <c r="G474" s="70">
        <f t="shared" si="47"/>
        <v>-1.3910952720725199E-2</v>
      </c>
      <c r="H474" s="53"/>
      <c r="I474" s="15">
        <v>41547</v>
      </c>
      <c r="J474" s="55">
        <v>-4.8999999999999998E-3</v>
      </c>
      <c r="K474" s="55">
        <v>5.1000000000000004E-3</v>
      </c>
      <c r="L474" s="55">
        <v>5.9999999999999995E-4</v>
      </c>
      <c r="M474" s="55">
        <v>0</v>
      </c>
      <c r="N474" s="70">
        <f t="shared" si="48"/>
        <v>-5.4091451292246524E-3</v>
      </c>
      <c r="O474" s="70">
        <f t="shared" si="44"/>
        <v>5.191650099403579E-3</v>
      </c>
      <c r="P474" s="70">
        <f t="shared" si="45"/>
        <v>8.9840954274353878E-4</v>
      </c>
      <c r="AI474" s="15">
        <v>41547</v>
      </c>
      <c r="AJ474" s="2">
        <v>65.48</v>
      </c>
      <c r="AK474" s="2">
        <v>31.51</v>
      </c>
      <c r="AL474" s="2">
        <v>175.77</v>
      </c>
      <c r="AM474" s="2">
        <v>78.130013209062753</v>
      </c>
      <c r="AN474" s="2">
        <v>43.631870915989616</v>
      </c>
    </row>
    <row r="475" spans="2:40" x14ac:dyDescent="0.35">
      <c r="B475" s="15">
        <v>41544</v>
      </c>
      <c r="C475" s="49" t="str">
        <f>$S$4</f>
        <v>AAPL</v>
      </c>
      <c r="D475" s="53">
        <f>CHOOSE($S$3,AJ475,AK475,AL475,AM475,AN475)</f>
        <v>66.31</v>
      </c>
      <c r="E475" s="55">
        <f t="shared" si="43"/>
        <v>-7.2126533567683738E-3</v>
      </c>
      <c r="F475" s="55">
        <f t="shared" si="46"/>
        <v>-7.2126533567683738E-3</v>
      </c>
      <c r="G475" s="70">
        <f t="shared" si="47"/>
        <v>-8.5276431996514513E-3</v>
      </c>
      <c r="H475" s="53"/>
      <c r="I475" s="15">
        <v>41544</v>
      </c>
      <c r="J475" s="55">
        <v>-3.9000000000000003E-3</v>
      </c>
      <c r="K475" s="55">
        <v>-1E-4</v>
      </c>
      <c r="L475" s="55">
        <v>-5.9999999999999995E-4</v>
      </c>
      <c r="M475" s="55">
        <v>0</v>
      </c>
      <c r="N475" s="70">
        <f t="shared" si="48"/>
        <v>-4.4091451292246533E-3</v>
      </c>
      <c r="O475" s="70">
        <f t="shared" si="44"/>
        <v>-8.3499005964216949E-6</v>
      </c>
      <c r="P475" s="70">
        <f t="shared" si="45"/>
        <v>-3.0159045725646112E-4</v>
      </c>
      <c r="AI475" s="15">
        <v>41544</v>
      </c>
      <c r="AJ475" s="2">
        <v>66.31</v>
      </c>
      <c r="AK475" s="2">
        <v>31.5</v>
      </c>
      <c r="AL475" s="2">
        <v>177.42</v>
      </c>
      <c r="AM475" s="2">
        <v>78.991900293151332</v>
      </c>
      <c r="AN475" s="2">
        <v>43.829739440983658</v>
      </c>
    </row>
    <row r="476" spans="2:40" x14ac:dyDescent="0.35">
      <c r="B476" s="15">
        <v>41543</v>
      </c>
      <c r="C476" s="49" t="str">
        <f>$S$4</f>
        <v>AAPL</v>
      </c>
      <c r="D476" s="53">
        <f>CHOOSE($S$3,AJ476,AK476,AL476,AM476,AN476)</f>
        <v>66.790000000000006</v>
      </c>
      <c r="E476" s="55">
        <f t="shared" si="43"/>
        <v>9.7796611838979041E-3</v>
      </c>
      <c r="F476" s="55">
        <f t="shared" si="46"/>
        <v>9.7796611838979041E-3</v>
      </c>
      <c r="G476" s="70">
        <f t="shared" si="47"/>
        <v>8.4646713410148275E-3</v>
      </c>
      <c r="H476" s="53"/>
      <c r="I476" s="15">
        <v>41543</v>
      </c>
      <c r="J476" s="55">
        <v>4.1999999999999997E-3</v>
      </c>
      <c r="K476" s="55">
        <v>2.0999999999999999E-3</v>
      </c>
      <c r="L476" s="55">
        <v>-7.3000000000000001E-3</v>
      </c>
      <c r="M476" s="55">
        <v>0</v>
      </c>
      <c r="N476" s="70">
        <f t="shared" si="48"/>
        <v>3.6908548707753472E-3</v>
      </c>
      <c r="O476" s="70">
        <f t="shared" si="44"/>
        <v>2.1916500994035781E-3</v>
      </c>
      <c r="P476" s="70">
        <f t="shared" si="45"/>
        <v>-7.0015904572564612E-3</v>
      </c>
      <c r="AI476" s="15">
        <v>41543</v>
      </c>
      <c r="AJ476" s="2">
        <v>66.790000000000006</v>
      </c>
      <c r="AK476" s="2">
        <v>31.03</v>
      </c>
      <c r="AL476" s="2">
        <v>180.56</v>
      </c>
      <c r="AM476" s="2">
        <v>79.97680466633409</v>
      </c>
      <c r="AN476" s="2">
        <v>43.890607609015269</v>
      </c>
    </row>
    <row r="477" spans="2:40" x14ac:dyDescent="0.35">
      <c r="B477" s="15">
        <v>41542</v>
      </c>
      <c r="C477" s="49" t="str">
        <f>$S$4</f>
        <v>AAPL</v>
      </c>
      <c r="D477" s="53">
        <f>CHOOSE($S$3,AJ477,AK477,AL477,AM477,AN477)</f>
        <v>66.14</v>
      </c>
      <c r="E477" s="55">
        <f t="shared" si="43"/>
        <v>-1.5601876630500076E-2</v>
      </c>
      <c r="F477" s="55">
        <f t="shared" si="46"/>
        <v>-1.5601876630500076E-2</v>
      </c>
      <c r="G477" s="70">
        <f t="shared" si="47"/>
        <v>-1.6916866473383155E-2</v>
      </c>
      <c r="H477" s="53"/>
      <c r="I477" s="15">
        <v>41542</v>
      </c>
      <c r="J477" s="55">
        <v>-2.3E-3</v>
      </c>
      <c r="K477" s="55">
        <v>4.0000000000000002E-4</v>
      </c>
      <c r="L477" s="55">
        <v>5.7999999999999996E-3</v>
      </c>
      <c r="M477" s="55">
        <v>0</v>
      </c>
      <c r="N477" s="70">
        <f t="shared" si="48"/>
        <v>-2.8091451292246526E-3</v>
      </c>
      <c r="O477" s="70">
        <f t="shared" si="44"/>
        <v>4.916500994035783E-4</v>
      </c>
      <c r="P477" s="70">
        <f t="shared" si="45"/>
        <v>6.0984095427435384E-3</v>
      </c>
      <c r="AI477" s="15">
        <v>41542</v>
      </c>
      <c r="AJ477" s="2">
        <v>66.14</v>
      </c>
      <c r="AK477" s="2">
        <v>30.78</v>
      </c>
      <c r="AL477" s="2">
        <v>179.84</v>
      </c>
      <c r="AM477" s="2">
        <v>79.428180183196147</v>
      </c>
      <c r="AN477" s="2">
        <v>43.626291491119176</v>
      </c>
    </row>
    <row r="478" spans="2:40" x14ac:dyDescent="0.35">
      <c r="B478" s="15">
        <v>41541</v>
      </c>
      <c r="C478" s="49" t="str">
        <f>$S$4</f>
        <v>AAPL</v>
      </c>
      <c r="D478" s="53">
        <f>CHOOSE($S$3,AJ478,AK478,AL478,AM478,AN478)</f>
        <v>67.180000000000007</v>
      </c>
      <c r="E478" s="55">
        <f t="shared" si="43"/>
        <v>-3.1210547739787997E-3</v>
      </c>
      <c r="F478" s="55">
        <f t="shared" si="46"/>
        <v>-3.1210547739787997E-3</v>
      </c>
      <c r="G478" s="70">
        <f t="shared" si="47"/>
        <v>-4.4360446168618768E-3</v>
      </c>
      <c r="H478" s="53"/>
      <c r="I478" s="15">
        <v>41541</v>
      </c>
      <c r="J478" s="55">
        <v>-1.1999999999999999E-3</v>
      </c>
      <c r="K478" s="55">
        <v>5.3E-3</v>
      </c>
      <c r="L478" s="55">
        <v>1E-4</v>
      </c>
      <c r="M478" s="55">
        <v>0</v>
      </c>
      <c r="N478" s="70">
        <f t="shared" si="48"/>
        <v>-1.7091451292246525E-3</v>
      </c>
      <c r="O478" s="70">
        <f t="shared" si="44"/>
        <v>5.3916500994035787E-3</v>
      </c>
      <c r="P478" s="70">
        <f t="shared" si="45"/>
        <v>3.9840954274353882E-4</v>
      </c>
      <c r="AI478" s="15">
        <v>41541</v>
      </c>
      <c r="AJ478" s="2">
        <v>67.180000000000007</v>
      </c>
      <c r="AK478" s="2">
        <v>30.72</v>
      </c>
      <c r="AL478" s="2">
        <v>180.32</v>
      </c>
      <c r="AM478" s="2">
        <v>80.158651787555399</v>
      </c>
      <c r="AN478" s="2">
        <v>43.641990879068793</v>
      </c>
    </row>
    <row r="479" spans="2:40" x14ac:dyDescent="0.35">
      <c r="B479" s="15">
        <v>41540</v>
      </c>
      <c r="C479" s="49" t="str">
        <f>$S$4</f>
        <v>AAPL</v>
      </c>
      <c r="D479" s="53">
        <f>CHOOSE($S$3,AJ479,AK479,AL479,AM479,AN479)</f>
        <v>67.39</v>
      </c>
      <c r="E479" s="55">
        <f t="shared" si="43"/>
        <v>4.8493428262210106E-2</v>
      </c>
      <c r="F479" s="55">
        <f t="shared" si="46"/>
        <v>4.8493428262210106E-2</v>
      </c>
      <c r="G479" s="70">
        <f t="shared" si="47"/>
        <v>4.7178438419327028E-2</v>
      </c>
      <c r="H479" s="53"/>
      <c r="I479" s="15">
        <v>41540</v>
      </c>
      <c r="J479" s="55">
        <v>-4.5000000000000005E-3</v>
      </c>
      <c r="K479" s="55">
        <v>4.5000000000000005E-3</v>
      </c>
      <c r="L479" s="55">
        <v>-3.7000000000000002E-3</v>
      </c>
      <c r="M479" s="55">
        <v>0</v>
      </c>
      <c r="N479" s="70">
        <f t="shared" si="48"/>
        <v>-5.0091451292246531E-3</v>
      </c>
      <c r="O479" s="70">
        <f t="shared" si="44"/>
        <v>4.5916500994035792E-3</v>
      </c>
      <c r="P479" s="70">
        <f t="shared" si="45"/>
        <v>-3.4015904572564613E-3</v>
      </c>
      <c r="AI479" s="15">
        <v>41540</v>
      </c>
      <c r="AJ479" s="2">
        <v>67.39</v>
      </c>
      <c r="AK479" s="2">
        <v>31</v>
      </c>
      <c r="AL479" s="2">
        <v>181.29</v>
      </c>
      <c r="AM479" s="2">
        <v>80.499536713776209</v>
      </c>
      <c r="AN479" s="2">
        <v>43.958262400748957</v>
      </c>
    </row>
    <row r="480" spans="2:40" x14ac:dyDescent="0.35">
      <c r="B480" s="15">
        <v>41537</v>
      </c>
      <c r="C480" s="49" t="str">
        <f>$S$4</f>
        <v>AAPL</v>
      </c>
      <c r="D480" s="53">
        <f>CHOOSE($S$3,AJ480,AK480,AL480,AM480,AN480)</f>
        <v>64.2</v>
      </c>
      <c r="E480" s="55">
        <f t="shared" si="43"/>
        <v>-1.0382056529048615E-2</v>
      </c>
      <c r="F480" s="55">
        <f t="shared" si="46"/>
        <v>-1.0382056529048615E-2</v>
      </c>
      <c r="G480" s="70">
        <f t="shared" si="47"/>
        <v>-1.1697046371931691E-2</v>
      </c>
      <c r="H480" s="53"/>
      <c r="I480" s="15">
        <v>41537</v>
      </c>
      <c r="J480" s="55">
        <v>-6.3E-3</v>
      </c>
      <c r="K480" s="55">
        <v>5.3E-3</v>
      </c>
      <c r="L480" s="55">
        <v>1.8E-3</v>
      </c>
      <c r="M480" s="55">
        <v>0</v>
      </c>
      <c r="N480" s="70">
        <f t="shared" si="48"/>
        <v>-6.8091451292246526E-3</v>
      </c>
      <c r="O480" s="70">
        <f t="shared" si="44"/>
        <v>5.3916500994035787E-3</v>
      </c>
      <c r="P480" s="70">
        <f t="shared" si="45"/>
        <v>2.0984095427435388E-3</v>
      </c>
      <c r="AI480" s="15">
        <v>41537</v>
      </c>
      <c r="AJ480" s="2">
        <v>64.2</v>
      </c>
      <c r="AK480" s="2">
        <v>31.04</v>
      </c>
      <c r="AL480" s="2">
        <v>180.37</v>
      </c>
      <c r="AM480" s="2">
        <v>78.390000381500727</v>
      </c>
      <c r="AN480" s="2">
        <v>43.875084147047076</v>
      </c>
    </row>
    <row r="481" spans="2:40" x14ac:dyDescent="0.35">
      <c r="B481" s="15">
        <v>41536</v>
      </c>
      <c r="C481" s="49" t="str">
        <f>$S$4</f>
        <v>AAPL</v>
      </c>
      <c r="D481" s="53">
        <f>CHOOSE($S$3,AJ481,AK481,AL481,AM481,AN481)</f>
        <v>64.87</v>
      </c>
      <c r="E481" s="55">
        <f t="shared" si="43"/>
        <v>1.6161967956998122E-2</v>
      </c>
      <c r="F481" s="55">
        <f t="shared" si="46"/>
        <v>1.6161967956998122E-2</v>
      </c>
      <c r="G481" s="70">
        <f t="shared" si="47"/>
        <v>1.4846978114115046E-2</v>
      </c>
      <c r="H481" s="53"/>
      <c r="I481" s="15">
        <v>41536</v>
      </c>
      <c r="J481" s="55">
        <v>-1.2999999999999999E-3</v>
      </c>
      <c r="K481" s="55">
        <v>1.6000000000000001E-3</v>
      </c>
      <c r="L481" s="55">
        <v>-6.0000000000000001E-3</v>
      </c>
      <c r="M481" s="55">
        <v>0</v>
      </c>
      <c r="N481" s="70">
        <f t="shared" si="48"/>
        <v>-1.8091451292246525E-3</v>
      </c>
      <c r="O481" s="70">
        <f t="shared" si="44"/>
        <v>1.6916500994035783E-3</v>
      </c>
      <c r="P481" s="70">
        <f t="shared" si="45"/>
        <v>-5.7015904572564613E-3</v>
      </c>
      <c r="AI481" s="15">
        <v>41536</v>
      </c>
      <c r="AJ481" s="2">
        <v>64.87</v>
      </c>
      <c r="AK481" s="2">
        <v>31.85</v>
      </c>
      <c r="AL481" s="2">
        <v>183.56</v>
      </c>
      <c r="AM481" s="2">
        <v>79.492242373223263</v>
      </c>
      <c r="AN481" s="2">
        <v>44.835536695063077</v>
      </c>
    </row>
    <row r="482" spans="2:40" x14ac:dyDescent="0.35">
      <c r="B482" s="15">
        <v>41535</v>
      </c>
      <c r="C482" s="49" t="str">
        <f>$S$4</f>
        <v>AAPL</v>
      </c>
      <c r="D482" s="53">
        <f>CHOOSE($S$3,AJ482,AK482,AL482,AM482,AN482)</f>
        <v>63.83</v>
      </c>
      <c r="E482" s="55">
        <f t="shared" si="43"/>
        <v>2.0416947238270661E-2</v>
      </c>
      <c r="F482" s="55">
        <f t="shared" si="46"/>
        <v>2.0416947238270661E-2</v>
      </c>
      <c r="G482" s="70">
        <f t="shared" si="47"/>
        <v>1.9101957395387583E-2</v>
      </c>
      <c r="H482" s="53"/>
      <c r="I482" s="15">
        <v>41535</v>
      </c>
      <c r="J482" s="55">
        <v>1.1000000000000001E-2</v>
      </c>
      <c r="K482" s="55">
        <v>-1.6000000000000001E-3</v>
      </c>
      <c r="L482" s="55">
        <v>-4.5000000000000005E-3</v>
      </c>
      <c r="M482" s="55">
        <v>0</v>
      </c>
      <c r="N482" s="70">
        <f t="shared" si="48"/>
        <v>1.0490854870775349E-2</v>
      </c>
      <c r="O482" s="70">
        <f t="shared" si="44"/>
        <v>-1.5083499005964218E-3</v>
      </c>
      <c r="P482" s="70">
        <f t="shared" si="45"/>
        <v>-4.2015904572564617E-3</v>
      </c>
      <c r="AI482" s="15">
        <v>41535</v>
      </c>
      <c r="AJ482" s="2">
        <v>63.83</v>
      </c>
      <c r="AK482" s="2">
        <v>31.55</v>
      </c>
      <c r="AL482" s="2">
        <v>184.54</v>
      </c>
      <c r="AM482" s="2">
        <v>79.067228738878526</v>
      </c>
      <c r="AN482" s="2">
        <v>44.744065508601835</v>
      </c>
    </row>
    <row r="483" spans="2:40" x14ac:dyDescent="0.35">
      <c r="B483" s="15">
        <v>41534</v>
      </c>
      <c r="C483" s="49" t="str">
        <f>$S$4</f>
        <v>AAPL</v>
      </c>
      <c r="D483" s="53">
        <f>CHOOSE($S$3,AJ483,AK483,AL483,AM483,AN483)</f>
        <v>62.54</v>
      </c>
      <c r="E483" s="55">
        <f t="shared" si="43"/>
        <v>1.1417668459217796E-2</v>
      </c>
      <c r="F483" s="55">
        <f t="shared" si="46"/>
        <v>1.1417668459217796E-2</v>
      </c>
      <c r="G483" s="70">
        <f t="shared" si="47"/>
        <v>1.010267861633472E-2</v>
      </c>
      <c r="H483" s="53"/>
      <c r="I483" s="15">
        <v>41534</v>
      </c>
      <c r="J483" s="55">
        <v>5.4000000000000003E-3</v>
      </c>
      <c r="K483" s="55">
        <v>4.6999999999999993E-3</v>
      </c>
      <c r="L483" s="55">
        <v>-1.2999999999999999E-3</v>
      </c>
      <c r="M483" s="55">
        <v>0</v>
      </c>
      <c r="N483" s="70">
        <f t="shared" si="48"/>
        <v>4.8908548707753477E-3</v>
      </c>
      <c r="O483" s="70">
        <f t="shared" si="44"/>
        <v>4.791650099403578E-3</v>
      </c>
      <c r="P483" s="70">
        <f t="shared" si="45"/>
        <v>-1.0015904572564611E-3</v>
      </c>
      <c r="AI483" s="15">
        <v>41534</v>
      </c>
      <c r="AJ483" s="2">
        <v>62.54</v>
      </c>
      <c r="AK483" s="2">
        <v>31.18</v>
      </c>
      <c r="AL483" s="2">
        <v>182.4</v>
      </c>
      <c r="AM483" s="2">
        <v>77.809809376342955</v>
      </c>
      <c r="AN483" s="2">
        <v>44.222264273521702</v>
      </c>
    </row>
    <row r="484" spans="2:40" x14ac:dyDescent="0.35">
      <c r="B484" s="15">
        <v>41533</v>
      </c>
      <c r="C484" s="49" t="str">
        <f>$S$4</f>
        <v>AAPL</v>
      </c>
      <c r="D484" s="53">
        <f>CHOOSE($S$3,AJ484,AK484,AL484,AM484,AN484)</f>
        <v>61.83</v>
      </c>
      <c r="E484" s="55">
        <f t="shared" si="43"/>
        <v>-3.2304503716158624E-2</v>
      </c>
      <c r="F484" s="55">
        <f t="shared" si="46"/>
        <v>-3.2304503716158624E-2</v>
      </c>
      <c r="G484" s="70">
        <f t="shared" si="47"/>
        <v>-3.3619493559041702E-2</v>
      </c>
      <c r="H484" s="53"/>
      <c r="I484" s="15">
        <v>41533</v>
      </c>
      <c r="J484" s="55">
        <v>4.8999999999999998E-3</v>
      </c>
      <c r="K484" s="55">
        <v>-4.4000000000000003E-3</v>
      </c>
      <c r="L484" s="55">
        <v>4.0000000000000001E-3</v>
      </c>
      <c r="M484" s="55">
        <v>0</v>
      </c>
      <c r="N484" s="70">
        <f t="shared" si="48"/>
        <v>4.3908548707753473E-3</v>
      </c>
      <c r="O484" s="70">
        <f t="shared" si="44"/>
        <v>-4.3083499005964216E-3</v>
      </c>
      <c r="P484" s="70">
        <f t="shared" si="45"/>
        <v>4.2984095427435389E-3</v>
      </c>
      <c r="AI484" s="15">
        <v>41533</v>
      </c>
      <c r="AJ484" s="2">
        <v>61.83</v>
      </c>
      <c r="AK484" s="2">
        <v>31.05</v>
      </c>
      <c r="AL484" s="2">
        <v>183.34</v>
      </c>
      <c r="AM484" s="2">
        <v>77.568629099975041</v>
      </c>
      <c r="AN484" s="2">
        <v>44.244025374316585</v>
      </c>
    </row>
    <row r="485" spans="2:40" x14ac:dyDescent="0.35">
      <c r="B485" s="15">
        <v>41530</v>
      </c>
      <c r="C485" s="49" t="str">
        <f>$S$4</f>
        <v>AAPL</v>
      </c>
      <c r="D485" s="53">
        <f>CHOOSE($S$3,AJ485,AK485,AL485,AM485,AN485)</f>
        <v>63.86</v>
      </c>
      <c r="E485" s="55">
        <f t="shared" si="43"/>
        <v>-1.6616579233759591E-2</v>
      </c>
      <c r="F485" s="55">
        <f t="shared" si="46"/>
        <v>-1.6616579233759591E-2</v>
      </c>
      <c r="G485" s="70">
        <f t="shared" si="47"/>
        <v>-1.7931569076642669E-2</v>
      </c>
      <c r="H485" s="53"/>
      <c r="I485" s="15">
        <v>41530</v>
      </c>
      <c r="J485" s="55">
        <v>2.8999999999999998E-3</v>
      </c>
      <c r="K485" s="55">
        <v>2.3999999999999998E-3</v>
      </c>
      <c r="L485" s="55">
        <v>-1E-4</v>
      </c>
      <c r="M485" s="55">
        <v>0</v>
      </c>
      <c r="N485" s="70">
        <f t="shared" si="48"/>
        <v>2.3908548707753472E-3</v>
      </c>
      <c r="O485" s="70">
        <f t="shared" si="44"/>
        <v>2.491650099403578E-3</v>
      </c>
      <c r="P485" s="70">
        <f t="shared" si="45"/>
        <v>1.9840954274353884E-4</v>
      </c>
      <c r="AI485" s="15">
        <v>41530</v>
      </c>
      <c r="AJ485" s="2">
        <v>63.86</v>
      </c>
      <c r="AK485" s="2">
        <v>31.27</v>
      </c>
      <c r="AL485" s="2">
        <v>182.41</v>
      </c>
      <c r="AM485" s="2">
        <v>78.645259013292062</v>
      </c>
      <c r="AN485" s="2">
        <v>44.288552636649477</v>
      </c>
    </row>
    <row r="486" spans="2:40" x14ac:dyDescent="0.35">
      <c r="B486" s="15">
        <v>41529</v>
      </c>
      <c r="C486" s="49" t="str">
        <f>$S$4</f>
        <v>AAPL</v>
      </c>
      <c r="D486" s="53">
        <f>CHOOSE($S$3,AJ486,AK486,AL486,AM486,AN486)</f>
        <v>64.930000000000007</v>
      </c>
      <c r="E486" s="55">
        <f t="shared" si="43"/>
        <v>1.0683696881889249E-2</v>
      </c>
      <c r="F486" s="55">
        <f t="shared" si="46"/>
        <v>1.0683696881889249E-2</v>
      </c>
      <c r="G486" s="70">
        <f t="shared" si="47"/>
        <v>9.368707039006172E-3</v>
      </c>
      <c r="H486" s="53"/>
      <c r="I486" s="15">
        <v>41529</v>
      </c>
      <c r="J486" s="55">
        <v>-3.2000000000000002E-3</v>
      </c>
      <c r="K486" s="55">
        <v>-2.3E-3</v>
      </c>
      <c r="L486" s="55">
        <v>-3.4000000000000002E-3</v>
      </c>
      <c r="M486" s="55">
        <v>0</v>
      </c>
      <c r="N486" s="70">
        <f t="shared" si="48"/>
        <v>-3.7091451292246527E-3</v>
      </c>
      <c r="O486" s="70">
        <f t="shared" si="44"/>
        <v>-2.2083499005964217E-3</v>
      </c>
      <c r="P486" s="70">
        <f t="shared" si="45"/>
        <v>-3.1015904572564614E-3</v>
      </c>
      <c r="AI486" s="15">
        <v>41529</v>
      </c>
      <c r="AJ486" s="2">
        <v>64.930000000000007</v>
      </c>
      <c r="AK486" s="2">
        <v>30.95</v>
      </c>
      <c r="AL486" s="2">
        <v>181.04</v>
      </c>
      <c r="AM486" s="2">
        <v>79.008790796899049</v>
      </c>
      <c r="AN486" s="2">
        <v>43.895624514812731</v>
      </c>
    </row>
    <row r="487" spans="2:40" x14ac:dyDescent="0.35">
      <c r="B487" s="15">
        <v>41528</v>
      </c>
      <c r="C487" s="49" t="str">
        <f>$S$4</f>
        <v>AAPL</v>
      </c>
      <c r="D487" s="53">
        <f>CHOOSE($S$3,AJ487,AK487,AL487,AM487,AN487)</f>
        <v>64.239999999999995</v>
      </c>
      <c r="E487" s="55">
        <f t="shared" si="43"/>
        <v>-5.599889309393169E-2</v>
      </c>
      <c r="F487" s="55">
        <f t="shared" si="46"/>
        <v>-5.599889309393169E-2</v>
      </c>
      <c r="G487" s="70">
        <f t="shared" si="47"/>
        <v>-5.7313882936814768E-2</v>
      </c>
      <c r="H487" s="53"/>
      <c r="I487" s="15">
        <v>41528</v>
      </c>
      <c r="J487" s="55">
        <v>2.8000000000000004E-3</v>
      </c>
      <c r="K487" s="55">
        <v>-2.2000000000000001E-3</v>
      </c>
      <c r="L487" s="55">
        <v>1E-4</v>
      </c>
      <c r="M487" s="55">
        <v>0</v>
      </c>
      <c r="N487" s="70">
        <f t="shared" si="48"/>
        <v>2.2908548707753478E-3</v>
      </c>
      <c r="O487" s="70">
        <f t="shared" si="44"/>
        <v>-2.1083499005964219E-3</v>
      </c>
      <c r="P487" s="70">
        <f t="shared" si="45"/>
        <v>3.9840954274353882E-4</v>
      </c>
      <c r="AI487" s="15">
        <v>41528</v>
      </c>
      <c r="AJ487" s="2">
        <v>64.239999999999995</v>
      </c>
      <c r="AK487" s="2">
        <v>31</v>
      </c>
      <c r="AL487" s="2">
        <v>181.01</v>
      </c>
      <c r="AM487" s="2">
        <v>78.582438103330503</v>
      </c>
      <c r="AN487" s="2">
        <v>43.927444445336754</v>
      </c>
    </row>
    <row r="488" spans="2:40" x14ac:dyDescent="0.35">
      <c r="B488" s="15">
        <v>41527</v>
      </c>
      <c r="C488" s="49" t="str">
        <f>$S$4</f>
        <v>AAPL</v>
      </c>
      <c r="D488" s="53">
        <f>CHOOSE($S$3,AJ488,AK488,AL488,AM488,AN488)</f>
        <v>67.94</v>
      </c>
      <c r="E488" s="55">
        <f t="shared" si="43"/>
        <v>-2.3133351378488657E-2</v>
      </c>
      <c r="F488" s="55">
        <f t="shared" si="46"/>
        <v>-2.3133351378488657E-2</v>
      </c>
      <c r="G488" s="70">
        <f t="shared" si="47"/>
        <v>-2.4448341221371735E-2</v>
      </c>
      <c r="H488" s="53"/>
      <c r="I488" s="15">
        <v>41527</v>
      </c>
      <c r="J488" s="55">
        <v>8.0000000000000002E-3</v>
      </c>
      <c r="K488" s="55">
        <v>1E-4</v>
      </c>
      <c r="L488" s="55">
        <v>2.2000000000000001E-3</v>
      </c>
      <c r="M488" s="55">
        <v>0</v>
      </c>
      <c r="N488" s="70">
        <f t="shared" si="48"/>
        <v>7.4908548707753476E-3</v>
      </c>
      <c r="O488" s="70">
        <f t="shared" si="44"/>
        <v>1.9165009940357833E-4</v>
      </c>
      <c r="P488" s="70">
        <f t="shared" si="45"/>
        <v>2.498409542743539E-3</v>
      </c>
      <c r="AI488" s="15">
        <v>41527</v>
      </c>
      <c r="AJ488" s="2">
        <v>67.94</v>
      </c>
      <c r="AK488" s="2">
        <v>30.67</v>
      </c>
      <c r="AL488" s="2">
        <v>177.12</v>
      </c>
      <c r="AM488" s="2">
        <v>80.00108637475968</v>
      </c>
      <c r="AN488" s="2">
        <v>43.221625149757841</v>
      </c>
    </row>
    <row r="489" spans="2:40" x14ac:dyDescent="0.35">
      <c r="B489" s="15">
        <v>41526</v>
      </c>
      <c r="C489" s="49" t="str">
        <f>$S$4</f>
        <v>AAPL</v>
      </c>
      <c r="D489" s="53">
        <f>CHOOSE($S$3,AJ489,AK489,AL489,AM489,AN489)</f>
        <v>69.53</v>
      </c>
      <c r="E489" s="55">
        <f t="shared" si="43"/>
        <v>1.594698914651993E-2</v>
      </c>
      <c r="F489" s="55">
        <f t="shared" si="46"/>
        <v>1.594698914651993E-2</v>
      </c>
      <c r="G489" s="70">
        <f t="shared" si="47"/>
        <v>1.4631999303636853E-2</v>
      </c>
      <c r="H489" s="53"/>
      <c r="I489" s="15">
        <v>41526</v>
      </c>
      <c r="J489" s="55">
        <v>1.09E-2</v>
      </c>
      <c r="K489" s="55">
        <v>4.5999999999999999E-3</v>
      </c>
      <c r="L489" s="55">
        <v>-2.2000000000000001E-3</v>
      </c>
      <c r="M489" s="55">
        <v>0</v>
      </c>
      <c r="N489" s="70">
        <f t="shared" si="48"/>
        <v>1.0390854870775347E-2</v>
      </c>
      <c r="O489" s="70">
        <f t="shared" si="44"/>
        <v>4.6916500994035786E-3</v>
      </c>
      <c r="P489" s="70">
        <f t="shared" si="45"/>
        <v>-1.9015904572564613E-3</v>
      </c>
      <c r="AI489" s="15">
        <v>41526</v>
      </c>
      <c r="AJ489" s="2">
        <v>69.53</v>
      </c>
      <c r="AK489" s="2">
        <v>29.97</v>
      </c>
      <c r="AL489" s="2">
        <v>175.58</v>
      </c>
      <c r="AM489" s="2">
        <v>80.589427658914616</v>
      </c>
      <c r="AN489" s="2">
        <v>42.540489585582321</v>
      </c>
    </row>
    <row r="490" spans="2:40" x14ac:dyDescent="0.35">
      <c r="B490" s="15">
        <v>41523</v>
      </c>
      <c r="C490" s="49" t="str">
        <f>$S$4</f>
        <v>AAPL</v>
      </c>
      <c r="D490" s="53">
        <f>CHOOSE($S$3,AJ490,AK490,AL490,AM490,AN490)</f>
        <v>68.430000000000007</v>
      </c>
      <c r="E490" s="55">
        <f t="shared" si="43"/>
        <v>5.862540607437087E-3</v>
      </c>
      <c r="F490" s="55">
        <f t="shared" si="46"/>
        <v>5.862540607437087E-3</v>
      </c>
      <c r="G490" s="70">
        <f t="shared" si="47"/>
        <v>4.5475507645540095E-3</v>
      </c>
      <c r="H490" s="53"/>
      <c r="I490" s="15">
        <v>41523</v>
      </c>
      <c r="J490" s="55">
        <v>1E-4</v>
      </c>
      <c r="K490" s="55">
        <v>4.0000000000000002E-4</v>
      </c>
      <c r="L490" s="55">
        <v>0</v>
      </c>
      <c r="M490" s="55">
        <v>0</v>
      </c>
      <c r="N490" s="70">
        <f t="shared" si="48"/>
        <v>-4.091451292246526E-4</v>
      </c>
      <c r="O490" s="70">
        <f t="shared" si="44"/>
        <v>4.916500994035783E-4</v>
      </c>
      <c r="P490" s="70">
        <f t="shared" si="45"/>
        <v>2.9840954274353883E-4</v>
      </c>
      <c r="AI490" s="15">
        <v>41523</v>
      </c>
      <c r="AJ490" s="2">
        <v>68.430000000000007</v>
      </c>
      <c r="AK490" s="2">
        <v>29.49</v>
      </c>
      <c r="AL490" s="2">
        <v>173.73</v>
      </c>
      <c r="AM490" s="2">
        <v>79.527379213281904</v>
      </c>
      <c r="AN490" s="2">
        <v>41.975710908937288</v>
      </c>
    </row>
    <row r="491" spans="2:40" x14ac:dyDescent="0.35">
      <c r="B491" s="15">
        <v>41522</v>
      </c>
      <c r="C491" s="49" t="str">
        <f>$S$4</f>
        <v>AAPL</v>
      </c>
      <c r="D491" s="53">
        <f>CHOOSE($S$3,AJ491,AK491,AL491,AM491,AN491)</f>
        <v>68.03</v>
      </c>
      <c r="E491" s="55">
        <f t="shared" si="43"/>
        <v>-6.8849609112101653E-3</v>
      </c>
      <c r="F491" s="55">
        <f t="shared" si="46"/>
        <v>-6.8849609112101653E-3</v>
      </c>
      <c r="G491" s="70">
        <f t="shared" si="47"/>
        <v>-8.199950754093242E-3</v>
      </c>
      <c r="H491" s="53"/>
      <c r="I491" s="15">
        <v>41522</v>
      </c>
      <c r="J491" s="55">
        <v>1.9E-3</v>
      </c>
      <c r="K491" s="55">
        <v>1.7000000000000001E-3</v>
      </c>
      <c r="L491" s="55">
        <v>3.7000000000000002E-3</v>
      </c>
      <c r="M491" s="55">
        <v>0</v>
      </c>
      <c r="N491" s="70">
        <f t="shared" si="48"/>
        <v>1.3908548707753474E-3</v>
      </c>
      <c r="O491" s="70">
        <f t="shared" si="44"/>
        <v>1.7916500994035784E-3</v>
      </c>
      <c r="P491" s="70">
        <f t="shared" si="45"/>
        <v>3.998409542743539E-3</v>
      </c>
      <c r="AI491" s="15">
        <v>41522</v>
      </c>
      <c r="AJ491" s="2">
        <v>68.03</v>
      </c>
      <c r="AK491" s="2">
        <v>29.57</v>
      </c>
      <c r="AL491" s="2">
        <v>174.79</v>
      </c>
      <c r="AM491" s="2">
        <v>79.537560002081662</v>
      </c>
      <c r="AN491" s="2">
        <v>42.160702184974561</v>
      </c>
    </row>
    <row r="492" spans="2:40" x14ac:dyDescent="0.35">
      <c r="B492" s="15">
        <v>41521</v>
      </c>
      <c r="C492" s="49" t="str">
        <f>$S$4</f>
        <v>AAPL</v>
      </c>
      <c r="D492" s="53">
        <f>CHOOSE($S$3,AJ492,AK492,AL492,AM492,AN492)</f>
        <v>68.5</v>
      </c>
      <c r="E492" s="55">
        <f t="shared" si="43"/>
        <v>2.0500681098031655E-2</v>
      </c>
      <c r="F492" s="55">
        <f t="shared" si="46"/>
        <v>2.0500681098031655E-2</v>
      </c>
      <c r="G492" s="70">
        <f t="shared" si="47"/>
        <v>1.9185691255148577E-2</v>
      </c>
      <c r="H492" s="53"/>
      <c r="I492" s="15">
        <v>41521</v>
      </c>
      <c r="J492" s="55">
        <v>8.3000000000000001E-3</v>
      </c>
      <c r="K492" s="55">
        <v>-1E-4</v>
      </c>
      <c r="L492" s="55">
        <v>-1.5E-3</v>
      </c>
      <c r="M492" s="55">
        <v>0</v>
      </c>
      <c r="N492" s="70">
        <f t="shared" si="48"/>
        <v>7.7908548707753475E-3</v>
      </c>
      <c r="O492" s="70">
        <f t="shared" ref="O492:O514" si="49">K492-K$10</f>
        <v>-8.3499005964216949E-6</v>
      </c>
      <c r="P492" s="70">
        <f t="shared" ref="P492:P514" si="50">L492-L$10</f>
        <v>-1.2015904572564612E-3</v>
      </c>
      <c r="AI492" s="15">
        <v>41521</v>
      </c>
      <c r="AJ492" s="2">
        <v>68.5</v>
      </c>
      <c r="AK492" s="2">
        <v>29.54</v>
      </c>
      <c r="AL492" s="2">
        <v>173.83</v>
      </c>
      <c r="AM492" s="2">
        <v>79.593888967005469</v>
      </c>
      <c r="AN492" s="2">
        <v>42.023535569565503</v>
      </c>
    </row>
    <row r="493" spans="2:40" x14ac:dyDescent="0.35">
      <c r="B493" s="15">
        <v>41520</v>
      </c>
      <c r="C493" s="49" t="str">
        <f>$S$4</f>
        <v>AAPL</v>
      </c>
      <c r="D493" s="53">
        <f>CHOOSE($S$3,AJ493,AK493,AL493,AM493,AN493)</f>
        <v>67.11</v>
      </c>
      <c r="E493" s="55">
        <f t="shared" si="43"/>
        <v>2.8351880515246151E-3</v>
      </c>
      <c r="F493" s="55">
        <f t="shared" si="46"/>
        <v>2.8351880515246151E-3</v>
      </c>
      <c r="G493" s="70">
        <f t="shared" si="47"/>
        <v>1.520198208641538E-3</v>
      </c>
      <c r="H493" s="53"/>
      <c r="I493" s="15">
        <v>41520</v>
      </c>
      <c r="J493" s="55">
        <v>4.5999999999999999E-3</v>
      </c>
      <c r="K493" s="55">
        <v>5.0000000000000001E-4</v>
      </c>
      <c r="L493" s="55">
        <v>1E-3</v>
      </c>
      <c r="M493" s="55">
        <v>0</v>
      </c>
      <c r="N493" s="70">
        <f t="shared" ref="N493:N514" si="51">J493-J$10</f>
        <v>4.0908548707753473E-3</v>
      </c>
      <c r="O493" s="70">
        <f t="shared" si="49"/>
        <v>5.9165009940357835E-4</v>
      </c>
      <c r="P493" s="70">
        <f t="shared" si="50"/>
        <v>1.2984095427435388E-3</v>
      </c>
      <c r="AI493" s="15">
        <v>41520</v>
      </c>
      <c r="AJ493" s="2">
        <v>67.11</v>
      </c>
      <c r="AK493" s="2">
        <v>30.18</v>
      </c>
      <c r="AL493" s="2">
        <v>174.61</v>
      </c>
      <c r="AM493" s="2">
        <v>78.964905096864285</v>
      </c>
      <c r="AN493" s="2">
        <v>42.573049626825465</v>
      </c>
    </row>
    <row r="494" spans="2:40" x14ac:dyDescent="0.35">
      <c r="B494" s="15">
        <v>41516</v>
      </c>
      <c r="C494" s="49" t="str">
        <f>$S$4</f>
        <v>AAPL</v>
      </c>
      <c r="D494" s="53">
        <f>CHOOSE($S$3,AJ494,AK494,AL494,AM494,AN494)</f>
        <v>66.92</v>
      </c>
      <c r="E494" s="55">
        <f t="shared" si="43"/>
        <v>-9.2221388387985128E-3</v>
      </c>
      <c r="F494" s="55">
        <f t="shared" si="46"/>
        <v>-9.2221388387985128E-3</v>
      </c>
      <c r="G494" s="70">
        <f t="shared" si="47"/>
        <v>-1.0537128681681589E-2</v>
      </c>
      <c r="H494" s="53"/>
      <c r="I494" s="15">
        <v>41516</v>
      </c>
      <c r="J494" s="55">
        <v>-4.6999999999999993E-3</v>
      </c>
      <c r="K494" s="55">
        <v>-1.1399999999999999E-2</v>
      </c>
      <c r="L494" s="55">
        <v>-2.2000000000000001E-3</v>
      </c>
      <c r="M494" s="55">
        <v>0</v>
      </c>
      <c r="N494" s="70">
        <f t="shared" si="51"/>
        <v>-5.2091451292246519E-3</v>
      </c>
      <c r="O494" s="70">
        <f t="shared" si="49"/>
        <v>-1.1308349900596421E-2</v>
      </c>
      <c r="P494" s="70">
        <f t="shared" si="50"/>
        <v>-1.9015904572564613E-3</v>
      </c>
      <c r="AI494" s="15">
        <v>41516</v>
      </c>
      <c r="AJ494" s="2">
        <v>66.92</v>
      </c>
      <c r="AK494" s="2">
        <v>31.62</v>
      </c>
      <c r="AL494" s="2">
        <v>173.01</v>
      </c>
      <c r="AM494" s="2">
        <v>78.491334759770155</v>
      </c>
      <c r="AN494" s="2">
        <v>43.393654514471642</v>
      </c>
    </row>
    <row r="495" spans="2:40" x14ac:dyDescent="0.35">
      <c r="B495" s="15">
        <v>41515</v>
      </c>
      <c r="C495" s="49" t="str">
        <f>$S$4</f>
        <v>AAPL</v>
      </c>
      <c r="D495" s="53">
        <f>CHOOSE($S$3,AJ495,AK495,AL495,AM495,AN495)</f>
        <v>67.540000000000006</v>
      </c>
      <c r="E495" s="55">
        <f t="shared" si="43"/>
        <v>1.62999221093097E-3</v>
      </c>
      <c r="F495" s="55">
        <f t="shared" si="46"/>
        <v>1.62999221093097E-3</v>
      </c>
      <c r="G495" s="70">
        <f t="shared" si="47"/>
        <v>3.1500236804789293E-4</v>
      </c>
      <c r="H495" s="53"/>
      <c r="I495" s="15">
        <v>41515</v>
      </c>
      <c r="J495" s="55">
        <v>3.4000000000000002E-3</v>
      </c>
      <c r="K495" s="55">
        <v>7.8000000000000005E-3</v>
      </c>
      <c r="L495" s="55">
        <v>-4.0999999999999995E-3</v>
      </c>
      <c r="M495" s="55">
        <v>0</v>
      </c>
      <c r="N495" s="70">
        <f t="shared" si="51"/>
        <v>2.8908548707753477E-3</v>
      </c>
      <c r="O495" s="70">
        <f t="shared" si="49"/>
        <v>7.8916500994035792E-3</v>
      </c>
      <c r="P495" s="70">
        <f t="shared" si="50"/>
        <v>-3.8015904572564607E-3</v>
      </c>
      <c r="AI495" s="15">
        <v>41515</v>
      </c>
      <c r="AJ495" s="2">
        <v>67.540000000000006</v>
      </c>
      <c r="AK495" s="2">
        <v>31.76</v>
      </c>
      <c r="AL495" s="2">
        <v>173.36</v>
      </c>
      <c r="AM495" s="2">
        <v>78.934331934722096</v>
      </c>
      <c r="AN495" s="2">
        <v>43.533611676385277</v>
      </c>
    </row>
    <row r="496" spans="2:40" x14ac:dyDescent="0.35">
      <c r="B496" s="15">
        <v>41514</v>
      </c>
      <c r="C496" s="49" t="str">
        <f>$S$4</f>
        <v>AAPL</v>
      </c>
      <c r="D496" s="53">
        <f>CHOOSE($S$3,AJ496,AK496,AL496,AM496,AN496)</f>
        <v>67.430000000000007</v>
      </c>
      <c r="E496" s="55">
        <f t="shared" si="43"/>
        <v>4.7569585763427638E-3</v>
      </c>
      <c r="F496" s="55">
        <f t="shared" si="46"/>
        <v>4.7569585763427638E-3</v>
      </c>
      <c r="G496" s="70">
        <f t="shared" si="47"/>
        <v>3.4419687334596868E-3</v>
      </c>
      <c r="H496" s="53"/>
      <c r="I496" s="15">
        <v>41514</v>
      </c>
      <c r="J496" s="55">
        <v>3.0000000000000001E-3</v>
      </c>
      <c r="K496" s="55">
        <v>1.1000000000000001E-3</v>
      </c>
      <c r="L496" s="55">
        <v>8.0000000000000004E-4</v>
      </c>
      <c r="M496" s="55">
        <v>0</v>
      </c>
      <c r="N496" s="70">
        <f t="shared" si="51"/>
        <v>2.4908548707753475E-3</v>
      </c>
      <c r="O496" s="70">
        <f t="shared" si="49"/>
        <v>1.1916500994035783E-3</v>
      </c>
      <c r="P496" s="70">
        <f t="shared" si="50"/>
        <v>1.0984095427435388E-3</v>
      </c>
      <c r="AI496" s="15">
        <v>41514</v>
      </c>
      <c r="AJ496" s="2">
        <v>67.430000000000007</v>
      </c>
      <c r="AK496" s="2">
        <v>31.26</v>
      </c>
      <c r="AL496" s="2">
        <v>172.91</v>
      </c>
      <c r="AM496" s="2">
        <v>78.767606089153574</v>
      </c>
      <c r="AN496" s="2">
        <v>43.134433977866003</v>
      </c>
    </row>
    <row r="497" spans="2:40" x14ac:dyDescent="0.35">
      <c r="B497" s="15">
        <v>41513</v>
      </c>
      <c r="C497" s="49" t="str">
        <f>$S$4</f>
        <v>AAPL</v>
      </c>
      <c r="D497" s="53">
        <f>CHOOSE($S$3,AJ497,AK497,AL497,AM497,AN497)</f>
        <v>67.11</v>
      </c>
      <c r="E497" s="55">
        <f t="shared" si="43"/>
        <v>-2.9076938330555635E-2</v>
      </c>
      <c r="F497" s="55">
        <f t="shared" si="46"/>
        <v>-2.9076938330555635E-2</v>
      </c>
      <c r="G497" s="70">
        <f t="shared" si="47"/>
        <v>-3.0391928173438713E-2</v>
      </c>
      <c r="H497" s="53"/>
      <c r="I497" s="15">
        <v>41513</v>
      </c>
      <c r="J497" s="55">
        <v>-1.7500000000000002E-2</v>
      </c>
      <c r="K497" s="55">
        <v>-7.4000000000000003E-3</v>
      </c>
      <c r="L497" s="55">
        <v>-3.2000000000000002E-3</v>
      </c>
      <c r="M497" s="55">
        <v>0</v>
      </c>
      <c r="N497" s="70">
        <f t="shared" si="51"/>
        <v>-1.8009145129224656E-2</v>
      </c>
      <c r="O497" s="70">
        <f t="shared" si="49"/>
        <v>-7.3083499005964217E-3</v>
      </c>
      <c r="P497" s="70">
        <f t="shared" si="50"/>
        <v>-2.9015904572564613E-3</v>
      </c>
      <c r="AI497" s="15">
        <v>41513</v>
      </c>
      <c r="AJ497" s="2">
        <v>67.11</v>
      </c>
      <c r="AK497" s="2">
        <v>31.49</v>
      </c>
      <c r="AL497" s="2">
        <v>173.46</v>
      </c>
      <c r="AM497" s="2">
        <v>78.705977658739926</v>
      </c>
      <c r="AN497" s="2">
        <v>43.361719901724243</v>
      </c>
    </row>
    <row r="498" spans="2:40" x14ac:dyDescent="0.35">
      <c r="B498" s="15">
        <v>41512</v>
      </c>
      <c r="C498" s="49" t="str">
        <f>$S$4</f>
        <v>AAPL</v>
      </c>
      <c r="D498" s="53">
        <f>CHOOSE($S$3,AJ498,AK498,AL498,AM498,AN498)</f>
        <v>69.09</v>
      </c>
      <c r="E498" s="55">
        <f t="shared" si="43"/>
        <v>3.9156021313692712E-3</v>
      </c>
      <c r="F498" s="55">
        <f t="shared" si="46"/>
        <v>3.9156021313692712E-3</v>
      </c>
      <c r="G498" s="70">
        <f t="shared" si="47"/>
        <v>2.6006122884861941E-3</v>
      </c>
      <c r="H498" s="53"/>
      <c r="I498" s="15">
        <v>41512</v>
      </c>
      <c r="J498" s="55">
        <v>-2.8999999999999998E-3</v>
      </c>
      <c r="K498" s="55">
        <v>5.0000000000000001E-3</v>
      </c>
      <c r="L498" s="55">
        <v>-5.0000000000000001E-3</v>
      </c>
      <c r="M498" s="55">
        <v>0</v>
      </c>
      <c r="N498" s="70">
        <f t="shared" si="51"/>
        <v>-3.4091451292246524E-3</v>
      </c>
      <c r="O498" s="70">
        <f t="shared" si="49"/>
        <v>5.0916500994035788E-3</v>
      </c>
      <c r="P498" s="70">
        <f t="shared" si="50"/>
        <v>-4.7015904572564613E-3</v>
      </c>
      <c r="AI498" s="15">
        <v>41512</v>
      </c>
      <c r="AJ498" s="2">
        <v>69.09</v>
      </c>
      <c r="AK498" s="2">
        <v>32.33</v>
      </c>
      <c r="AL498" s="2">
        <v>175.35</v>
      </c>
      <c r="AM498" s="2">
        <v>80.295825952580614</v>
      </c>
      <c r="AN498" s="2">
        <v>44.176291897253009</v>
      </c>
    </row>
    <row r="499" spans="2:40" x14ac:dyDescent="0.35">
      <c r="B499" s="15">
        <v>41509</v>
      </c>
      <c r="C499" s="49" t="str">
        <f>$S$4</f>
        <v>AAPL</v>
      </c>
      <c r="D499" s="53">
        <f>CHOOSE($S$3,AJ499,AK499,AL499,AM499,AN499)</f>
        <v>68.819999999999993</v>
      </c>
      <c r="E499" s="55">
        <f t="shared" si="43"/>
        <v>-3.7708529091436196E-3</v>
      </c>
      <c r="F499" s="55">
        <f t="shared" si="46"/>
        <v>-3.7708529091436196E-3</v>
      </c>
      <c r="G499" s="70">
        <f t="shared" si="47"/>
        <v>-5.0858427520266963E-3</v>
      </c>
      <c r="H499" s="53"/>
      <c r="I499" s="15">
        <v>41509</v>
      </c>
      <c r="J499" s="55">
        <v>3.8E-3</v>
      </c>
      <c r="K499" s="55">
        <v>-2.2000000000000001E-3</v>
      </c>
      <c r="L499" s="55">
        <v>-1.4000000000000002E-3</v>
      </c>
      <c r="M499" s="55">
        <v>0</v>
      </c>
      <c r="N499" s="70">
        <f t="shared" si="51"/>
        <v>3.2908548707753474E-3</v>
      </c>
      <c r="O499" s="70">
        <f t="shared" si="49"/>
        <v>-2.1083499005964219E-3</v>
      </c>
      <c r="P499" s="70">
        <f t="shared" si="50"/>
        <v>-1.1015904572564614E-3</v>
      </c>
      <c r="AI499" s="15">
        <v>41509</v>
      </c>
      <c r="AJ499" s="2">
        <v>68.819999999999993</v>
      </c>
      <c r="AK499" s="2">
        <v>32.9</v>
      </c>
      <c r="AL499" s="2">
        <v>176</v>
      </c>
      <c r="AM499" s="2">
        <v>80.287753243625531</v>
      </c>
      <c r="AN499" s="2">
        <v>44.64759893833935</v>
      </c>
    </row>
    <row r="500" spans="2:40" x14ac:dyDescent="0.35">
      <c r="B500" s="15">
        <v>41508</v>
      </c>
      <c r="C500" s="49" t="str">
        <f>$S$4</f>
        <v>AAPL</v>
      </c>
      <c r="D500" s="53">
        <f>CHOOSE($S$3,AJ500,AK500,AL500,AM500,AN500)</f>
        <v>69.08</v>
      </c>
      <c r="E500" s="55">
        <f t="shared" si="43"/>
        <v>1.1587486812184486E-3</v>
      </c>
      <c r="F500" s="55">
        <f t="shared" si="46"/>
        <v>1.1587486812184486E-3</v>
      </c>
      <c r="G500" s="70">
        <f t="shared" si="47"/>
        <v>-1.562411616646284E-4</v>
      </c>
      <c r="H500" s="53"/>
      <c r="I500" s="15">
        <v>41508</v>
      </c>
      <c r="J500" s="55">
        <v>9.300000000000001E-3</v>
      </c>
      <c r="K500" s="55">
        <v>5.1999999999999998E-3</v>
      </c>
      <c r="L500" s="55">
        <v>5.0000000000000001E-4</v>
      </c>
      <c r="M500" s="55">
        <v>0</v>
      </c>
      <c r="N500" s="70">
        <f t="shared" si="51"/>
        <v>8.7908548707753484E-3</v>
      </c>
      <c r="O500" s="70">
        <f t="shared" si="49"/>
        <v>5.2916500994035784E-3</v>
      </c>
      <c r="P500" s="70">
        <f t="shared" si="50"/>
        <v>7.9840954274353884E-4</v>
      </c>
      <c r="AI500" s="15">
        <v>41508</v>
      </c>
      <c r="AJ500" s="2">
        <v>69.08</v>
      </c>
      <c r="AK500" s="2">
        <v>30.67</v>
      </c>
      <c r="AL500" s="2">
        <v>175.78</v>
      </c>
      <c r="AM500" s="2">
        <v>80.389235820424133</v>
      </c>
      <c r="AN500" s="2">
        <v>43.106561276654915</v>
      </c>
    </row>
    <row r="501" spans="2:40" x14ac:dyDescent="0.35">
      <c r="B501" s="15">
        <v>41507</v>
      </c>
      <c r="C501" s="49" t="str">
        <f>$S$4</f>
        <v>AAPL</v>
      </c>
      <c r="D501" s="53">
        <f>CHOOSE($S$3,AJ501,AK501,AL501,AM501,AN501)</f>
        <v>69</v>
      </c>
      <c r="E501" s="55">
        <f t="shared" si="43"/>
        <v>2.6121042279251827E-3</v>
      </c>
      <c r="F501" s="55">
        <f t="shared" si="46"/>
        <v>2.6121042279251827E-3</v>
      </c>
      <c r="G501" s="70">
        <f t="shared" si="47"/>
        <v>1.2971143850421057E-3</v>
      </c>
      <c r="H501" s="53"/>
      <c r="I501" s="15">
        <v>41507</v>
      </c>
      <c r="J501" s="55">
        <v>-5.8999999999999999E-3</v>
      </c>
      <c r="K501" s="55">
        <v>-2.0000000000000001E-4</v>
      </c>
      <c r="L501" s="55">
        <v>-4.5999999999999999E-3</v>
      </c>
      <c r="M501" s="55">
        <v>0</v>
      </c>
      <c r="N501" s="70">
        <f t="shared" si="51"/>
        <v>-6.4091451292246525E-3</v>
      </c>
      <c r="O501" s="70">
        <f t="shared" si="49"/>
        <v>-1.083499005964217E-4</v>
      </c>
      <c r="P501" s="70">
        <f t="shared" si="50"/>
        <v>-4.3015904572564611E-3</v>
      </c>
      <c r="AI501" s="15">
        <v>41507</v>
      </c>
      <c r="AJ501" s="2">
        <v>69</v>
      </c>
      <c r="AK501" s="2">
        <v>29.93</v>
      </c>
      <c r="AL501" s="2">
        <v>175.47</v>
      </c>
      <c r="AM501" s="2">
        <v>80.271801388338702</v>
      </c>
      <c r="AN501" s="2">
        <v>42.548517091133405</v>
      </c>
    </row>
    <row r="502" spans="2:40" x14ac:dyDescent="0.35">
      <c r="B502" s="15">
        <v>41506</v>
      </c>
      <c r="C502" s="49" t="str">
        <f>$S$4</f>
        <v>AAPL</v>
      </c>
      <c r="D502" s="53">
        <f>CHOOSE($S$3,AJ502,AK502,AL502,AM502,AN502)</f>
        <v>68.819999999999993</v>
      </c>
      <c r="E502" s="55">
        <f t="shared" si="43"/>
        <v>-1.3279640878170766E-2</v>
      </c>
      <c r="F502" s="55">
        <f t="shared" si="46"/>
        <v>-1.3279640878170766E-2</v>
      </c>
      <c r="G502" s="70">
        <f t="shared" si="47"/>
        <v>-1.4594630721053842E-2</v>
      </c>
      <c r="H502" s="53"/>
      <c r="I502" s="15">
        <v>41506</v>
      </c>
      <c r="J502" s="55">
        <v>5.3E-3</v>
      </c>
      <c r="K502" s="55">
        <v>8.3999999999999995E-3</v>
      </c>
      <c r="L502" s="55">
        <v>1.2999999999999999E-3</v>
      </c>
      <c r="M502" s="55">
        <v>0</v>
      </c>
      <c r="N502" s="70">
        <f t="shared" si="51"/>
        <v>4.7908548707753474E-3</v>
      </c>
      <c r="O502" s="70">
        <f t="shared" si="49"/>
        <v>8.4916500994035773E-3</v>
      </c>
      <c r="P502" s="70">
        <f t="shared" si="50"/>
        <v>1.5984095427435388E-3</v>
      </c>
      <c r="AI502" s="15">
        <v>41506</v>
      </c>
      <c r="AJ502" s="2">
        <v>68.819999999999993</v>
      </c>
      <c r="AK502" s="2">
        <v>29.94</v>
      </c>
      <c r="AL502" s="2">
        <v>175.18</v>
      </c>
      <c r="AM502" s="2">
        <v>80.100766268420159</v>
      </c>
      <c r="AN502" s="2">
        <v>42.520465040267425</v>
      </c>
    </row>
    <row r="503" spans="2:40" x14ac:dyDescent="0.35">
      <c r="B503" s="15">
        <v>41505</v>
      </c>
      <c r="C503" s="49" t="str">
        <f>$S$4</f>
        <v>AAPL</v>
      </c>
      <c r="D503" s="53">
        <f>CHOOSE($S$3,AJ503,AK503,AL503,AM503,AN503)</f>
        <v>69.739999999999995</v>
      </c>
      <c r="E503" s="55">
        <f t="shared" si="43"/>
        <v>1.0667536650245685E-2</v>
      </c>
      <c r="F503" s="55">
        <f t="shared" si="46"/>
        <v>1.0667536650245685E-2</v>
      </c>
      <c r="G503" s="70">
        <f t="shared" si="47"/>
        <v>9.3525468073626088E-3</v>
      </c>
      <c r="H503" s="53"/>
      <c r="I503" s="15">
        <v>41505</v>
      </c>
      <c r="J503" s="55">
        <v>-6.1999999999999998E-3</v>
      </c>
      <c r="K503" s="55">
        <v>-1.9E-3</v>
      </c>
      <c r="L503" s="55">
        <v>-7.4999999999999997E-3</v>
      </c>
      <c r="M503" s="55">
        <v>0</v>
      </c>
      <c r="N503" s="70">
        <f t="shared" si="51"/>
        <v>-6.7091451292246524E-3</v>
      </c>
      <c r="O503" s="70">
        <f t="shared" si="49"/>
        <v>-1.8083499005964218E-3</v>
      </c>
      <c r="P503" s="70">
        <f t="shared" si="50"/>
        <v>-7.2015904572564609E-3</v>
      </c>
      <c r="AI503" s="15">
        <v>41505</v>
      </c>
      <c r="AJ503" s="2">
        <v>69.739999999999995</v>
      </c>
      <c r="AK503" s="2">
        <v>29.72</v>
      </c>
      <c r="AL503" s="2">
        <v>174.87</v>
      </c>
      <c r="AM503" s="2">
        <v>80.565294582718067</v>
      </c>
      <c r="AN503" s="2">
        <v>42.326621940713423</v>
      </c>
    </row>
    <row r="504" spans="2:40" x14ac:dyDescent="0.35">
      <c r="B504" s="15">
        <v>41502</v>
      </c>
      <c r="C504" s="49" t="str">
        <f>$S$4</f>
        <v>AAPL</v>
      </c>
      <c r="D504" s="53">
        <f>CHOOSE($S$3,AJ504,AK504,AL504,AM504,AN504)</f>
        <v>69</v>
      </c>
      <c r="E504" s="55">
        <f t="shared" si="43"/>
        <v>8.879889487254683E-3</v>
      </c>
      <c r="F504" s="55">
        <f t="shared" si="46"/>
        <v>8.879889487254683E-3</v>
      </c>
      <c r="G504" s="70">
        <f t="shared" si="47"/>
        <v>7.5648996443716063E-3</v>
      </c>
      <c r="H504" s="53"/>
      <c r="I504" s="15">
        <v>41502</v>
      </c>
      <c r="J504" s="55">
        <v>-2.5999999999999999E-3</v>
      </c>
      <c r="K504" s="55">
        <v>5.0000000000000001E-4</v>
      </c>
      <c r="L504" s="55">
        <v>8.9999999999999998E-4</v>
      </c>
      <c r="M504" s="55">
        <v>0</v>
      </c>
      <c r="N504" s="70">
        <f t="shared" si="51"/>
        <v>-3.1091451292246525E-3</v>
      </c>
      <c r="O504" s="70">
        <f t="shared" si="49"/>
        <v>5.9165009940357835E-4</v>
      </c>
      <c r="P504" s="70">
        <f t="shared" si="50"/>
        <v>1.1984095427435388E-3</v>
      </c>
      <c r="AI504" s="15">
        <v>41502</v>
      </c>
      <c r="AJ504" s="2">
        <v>69</v>
      </c>
      <c r="AK504" s="2">
        <v>30.11</v>
      </c>
      <c r="AL504" s="2">
        <v>175.92</v>
      </c>
      <c r="AM504" s="2">
        <v>80.379737409642573</v>
      </c>
      <c r="AN504" s="2">
        <v>42.731411254305733</v>
      </c>
    </row>
    <row r="505" spans="2:40" x14ac:dyDescent="0.35">
      <c r="B505" s="15">
        <v>41501</v>
      </c>
      <c r="C505" s="49" t="str">
        <f>$S$4</f>
        <v>AAPL</v>
      </c>
      <c r="D505" s="53">
        <f>CHOOSE($S$3,AJ505,AK505,AL505,AM505,AN505)</f>
        <v>68.39</v>
      </c>
      <c r="E505" s="55">
        <f t="shared" si="43"/>
        <v>-1.1690780229668641E-3</v>
      </c>
      <c r="F505" s="55">
        <f t="shared" si="46"/>
        <v>-1.1690780229668641E-3</v>
      </c>
      <c r="G505" s="70">
        <f t="shared" si="47"/>
        <v>-2.4840678658499412E-3</v>
      </c>
      <c r="H505" s="53"/>
      <c r="I505" s="15">
        <v>41501</v>
      </c>
      <c r="J505" s="55">
        <v>-1.47E-2</v>
      </c>
      <c r="K505" s="55">
        <v>-3.7000000000000002E-3</v>
      </c>
      <c r="L505" s="55">
        <v>2.8999999999999998E-3</v>
      </c>
      <c r="M505" s="55">
        <v>0</v>
      </c>
      <c r="N505" s="70">
        <f t="shared" si="51"/>
        <v>-1.5209145129224652E-2</v>
      </c>
      <c r="O505" s="70">
        <f t="shared" si="49"/>
        <v>-3.6083499005964219E-3</v>
      </c>
      <c r="P505" s="70">
        <f t="shared" si="50"/>
        <v>3.1984095427435386E-3</v>
      </c>
      <c r="AI505" s="15">
        <v>41501</v>
      </c>
      <c r="AJ505" s="2">
        <v>68.39</v>
      </c>
      <c r="AK505" s="2">
        <v>30.1</v>
      </c>
      <c r="AL505" s="2">
        <v>176.35</v>
      </c>
      <c r="AM505" s="2">
        <v>80.12267148095259</v>
      </c>
      <c r="AN505" s="2">
        <v>42.776539412391685</v>
      </c>
    </row>
    <row r="506" spans="2:40" x14ac:dyDescent="0.35">
      <c r="B506" s="15">
        <v>41500</v>
      </c>
      <c r="C506" s="49" t="str">
        <f>$S$4</f>
        <v>AAPL</v>
      </c>
      <c r="D506" s="53">
        <f>CHOOSE($S$3,AJ506,AK506,AL506,AM506,AN506)</f>
        <v>68.47</v>
      </c>
      <c r="E506" s="55">
        <f t="shared" si="43"/>
        <v>1.7978674651023121E-2</v>
      </c>
      <c r="F506" s="55">
        <f t="shared" si="46"/>
        <v>1.7978674651023121E-2</v>
      </c>
      <c r="G506" s="70">
        <f t="shared" si="47"/>
        <v>1.6663684808140043E-2</v>
      </c>
      <c r="H506" s="53"/>
      <c r="I506" s="15">
        <v>41500</v>
      </c>
      <c r="J506" s="55">
        <v>-5.0000000000000001E-3</v>
      </c>
      <c r="K506" s="55">
        <v>1.4000000000000002E-3</v>
      </c>
      <c r="L506" s="55">
        <v>2.8000000000000004E-3</v>
      </c>
      <c r="M506" s="55">
        <v>0</v>
      </c>
      <c r="N506" s="70">
        <f t="shared" si="51"/>
        <v>-5.5091451292246527E-3</v>
      </c>
      <c r="O506" s="70">
        <f t="shared" si="49"/>
        <v>1.4916500994035784E-3</v>
      </c>
      <c r="P506" s="70">
        <f t="shared" si="50"/>
        <v>3.0984095427435392E-3</v>
      </c>
      <c r="AI506" s="15">
        <v>41500</v>
      </c>
      <c r="AJ506" s="2">
        <v>68.47</v>
      </c>
      <c r="AK506" s="2">
        <v>30.63</v>
      </c>
      <c r="AL506" s="2">
        <v>178</v>
      </c>
      <c r="AM506" s="2">
        <v>80.544363318341723</v>
      </c>
      <c r="AN506" s="2">
        <v>43.353260565335731</v>
      </c>
    </row>
    <row r="507" spans="2:40" x14ac:dyDescent="0.35">
      <c r="B507" s="15">
        <v>41499</v>
      </c>
      <c r="C507" s="49" t="str">
        <f>$S$4</f>
        <v>AAPL</v>
      </c>
      <c r="D507" s="53">
        <f>CHOOSE($S$3,AJ507,AK507,AL507,AM507,AN507)</f>
        <v>67.25</v>
      </c>
      <c r="E507" s="55">
        <f t="shared" si="43"/>
        <v>4.6569583158261811E-2</v>
      </c>
      <c r="F507" s="55">
        <f t="shared" si="46"/>
        <v>4.6569583158261811E-2</v>
      </c>
      <c r="G507" s="70">
        <f t="shared" si="47"/>
        <v>4.5254593315378733E-2</v>
      </c>
      <c r="H507" s="53"/>
      <c r="I507" s="15">
        <v>41499</v>
      </c>
      <c r="J507" s="55">
        <v>2E-3</v>
      </c>
      <c r="K507" s="55">
        <v>-2.8999999999999998E-3</v>
      </c>
      <c r="L507" s="55">
        <v>-5.0000000000000001E-4</v>
      </c>
      <c r="M507" s="55">
        <v>0</v>
      </c>
      <c r="N507" s="70">
        <f t="shared" si="51"/>
        <v>1.4908548707753475E-3</v>
      </c>
      <c r="O507" s="70">
        <f t="shared" si="49"/>
        <v>-2.8083499005964216E-3</v>
      </c>
      <c r="P507" s="70">
        <f t="shared" si="50"/>
        <v>-2.0159045725646118E-4</v>
      </c>
      <c r="AI507" s="15">
        <v>41499</v>
      </c>
      <c r="AJ507" s="2">
        <v>67.25</v>
      </c>
      <c r="AK507" s="2">
        <v>30.51</v>
      </c>
      <c r="AL507" s="2">
        <v>178.85</v>
      </c>
      <c r="AM507" s="2">
        <v>80.019103659585838</v>
      </c>
      <c r="AN507" s="2">
        <v>43.371849428586977</v>
      </c>
    </row>
    <row r="508" spans="2:40" x14ac:dyDescent="0.35">
      <c r="B508" s="15">
        <v>41498</v>
      </c>
      <c r="C508" s="49" t="str">
        <f>$S$4</f>
        <v>AAPL</v>
      </c>
      <c r="D508" s="53">
        <f>CHOOSE($S$3,AJ508,AK508,AL508,AM508,AN508)</f>
        <v>64.19</v>
      </c>
      <c r="E508" s="55">
        <f t="shared" si="43"/>
        <v>2.7961698481053354E-2</v>
      </c>
      <c r="F508" s="55">
        <f t="shared" si="46"/>
        <v>2.7961698481053354E-2</v>
      </c>
      <c r="G508" s="70">
        <f t="shared" si="47"/>
        <v>2.6646708638170275E-2</v>
      </c>
      <c r="H508" s="53"/>
      <c r="I508" s="15">
        <v>41498</v>
      </c>
      <c r="J508" s="55">
        <v>-2.0000000000000001E-4</v>
      </c>
      <c r="K508" s="55">
        <v>5.7999999999999996E-3</v>
      </c>
      <c r="L508" s="55">
        <v>-2.2000000000000001E-3</v>
      </c>
      <c r="M508" s="55">
        <v>0</v>
      </c>
      <c r="N508" s="70">
        <f t="shared" si="51"/>
        <v>-7.0914512922465257E-4</v>
      </c>
      <c r="O508" s="70">
        <f t="shared" si="49"/>
        <v>5.8916500994035783E-3</v>
      </c>
      <c r="P508" s="70">
        <f t="shared" si="50"/>
        <v>-1.9015904572564613E-3</v>
      </c>
      <c r="AI508" s="15">
        <v>41498</v>
      </c>
      <c r="AJ508" s="2">
        <v>64.19</v>
      </c>
      <c r="AK508" s="2">
        <v>30.9</v>
      </c>
      <c r="AL508" s="2">
        <v>179.48</v>
      </c>
      <c r="AM508" s="2">
        <v>78.339528526195437</v>
      </c>
      <c r="AN508" s="2">
        <v>43.725442748525779</v>
      </c>
    </row>
    <row r="509" spans="2:40" x14ac:dyDescent="0.35">
      <c r="B509" s="15">
        <v>41495</v>
      </c>
      <c r="C509" s="49" t="str">
        <f>$S$4</f>
        <v>AAPL</v>
      </c>
      <c r="D509" s="53">
        <f>CHOOSE($S$3,AJ509,AK509,AL509,AM509,AN509)</f>
        <v>62.42</v>
      </c>
      <c r="E509" s="55">
        <f t="shared" si="43"/>
        <v>-1.431549817017806E-2</v>
      </c>
      <c r="F509" s="55">
        <f t="shared" si="46"/>
        <v>-1.431549817017806E-2</v>
      </c>
      <c r="G509" s="70">
        <f t="shared" si="47"/>
        <v>-1.5630488013061137E-2</v>
      </c>
      <c r="H509" s="53"/>
      <c r="I509" s="15">
        <v>41495</v>
      </c>
      <c r="J509" s="55">
        <v>-2.8999999999999998E-3</v>
      </c>
      <c r="K509" s="55">
        <v>1.2999999999999999E-3</v>
      </c>
      <c r="L509" s="55">
        <v>-2E-3</v>
      </c>
      <c r="M509" s="55">
        <v>0</v>
      </c>
      <c r="N509" s="70">
        <f t="shared" si="51"/>
        <v>-3.4091451292246524E-3</v>
      </c>
      <c r="O509" s="70">
        <f t="shared" si="49"/>
        <v>1.3916500994035782E-3</v>
      </c>
      <c r="P509" s="70">
        <f t="shared" si="50"/>
        <v>-1.7015904572564612E-3</v>
      </c>
      <c r="AI509" s="15">
        <v>41495</v>
      </c>
      <c r="AJ509" s="2">
        <v>62.42</v>
      </c>
      <c r="AK509" s="2">
        <v>30.74</v>
      </c>
      <c r="AL509" s="2">
        <v>178.28</v>
      </c>
      <c r="AM509" s="2">
        <v>76.997557899583072</v>
      </c>
      <c r="AN509" s="2">
        <v>43.466063963189413</v>
      </c>
    </row>
    <row r="510" spans="2:40" x14ac:dyDescent="0.35">
      <c r="B510" s="15">
        <v>41494</v>
      </c>
      <c r="C510" s="49" t="str">
        <f>$S$4</f>
        <v>AAPL</v>
      </c>
      <c r="D510" s="53">
        <f>CHOOSE($S$3,AJ510,AK510,AL510,AM510,AN510)</f>
        <v>63.32</v>
      </c>
      <c r="E510" s="55">
        <f t="shared" si="43"/>
        <v>-2.0509591475852715E-3</v>
      </c>
      <c r="F510" s="55">
        <f t="shared" si="46"/>
        <v>-2.0509591475852715E-3</v>
      </c>
      <c r="G510" s="70">
        <f t="shared" si="47"/>
        <v>-3.3659489904683485E-3</v>
      </c>
      <c r="H510" s="53"/>
      <c r="I510" s="15">
        <v>41494</v>
      </c>
      <c r="J510" s="55">
        <v>4.6999999999999993E-3</v>
      </c>
      <c r="K510" s="55">
        <v>0</v>
      </c>
      <c r="L510" s="55">
        <v>-1E-4</v>
      </c>
      <c r="M510" s="55">
        <v>0</v>
      </c>
      <c r="N510" s="70">
        <f t="shared" si="51"/>
        <v>4.1908548707753467E-3</v>
      </c>
      <c r="O510" s="70">
        <f t="shared" si="49"/>
        <v>9.165009940357831E-5</v>
      </c>
      <c r="P510" s="70">
        <f t="shared" si="50"/>
        <v>1.9840954274353884E-4</v>
      </c>
      <c r="AI510" s="15">
        <v>41494</v>
      </c>
      <c r="AJ510" s="2">
        <v>63.32</v>
      </c>
      <c r="AK510" s="2">
        <v>30.92</v>
      </c>
      <c r="AL510" s="2">
        <v>178.38</v>
      </c>
      <c r="AM510" s="2">
        <v>77.57424539394934</v>
      </c>
      <c r="AN510" s="2">
        <v>43.605513489088821</v>
      </c>
    </row>
    <row r="511" spans="2:40" x14ac:dyDescent="0.35">
      <c r="B511" s="15">
        <v>41493</v>
      </c>
      <c r="C511" s="49" t="str">
        <f>$S$4</f>
        <v>AAPL</v>
      </c>
      <c r="D511" s="53">
        <f>CHOOSE($S$3,AJ511,AK511,AL511,AM511,AN511)</f>
        <v>63.45</v>
      </c>
      <c r="E511" s="55">
        <f t="shared" si="43"/>
        <v>-6.3021902196181811E-4</v>
      </c>
      <c r="F511" s="55">
        <f t="shared" si="46"/>
        <v>-6.3021902196181811E-4</v>
      </c>
      <c r="G511" s="70">
        <f t="shared" si="47"/>
        <v>-1.9452088648448953E-3</v>
      </c>
      <c r="H511" s="53"/>
      <c r="I511" s="15">
        <v>41493</v>
      </c>
      <c r="J511" s="55">
        <v>-4.1999999999999997E-3</v>
      </c>
      <c r="K511" s="55">
        <v>-3.4000000000000002E-3</v>
      </c>
      <c r="L511" s="55">
        <v>2.0000000000000001E-4</v>
      </c>
      <c r="M511" s="55">
        <v>0</v>
      </c>
      <c r="N511" s="70">
        <f t="shared" si="51"/>
        <v>-4.7091451292246523E-3</v>
      </c>
      <c r="O511" s="70">
        <f t="shared" si="49"/>
        <v>-3.308349900596422E-3</v>
      </c>
      <c r="P511" s="70">
        <f t="shared" si="50"/>
        <v>4.9840954274353881E-4</v>
      </c>
      <c r="AI511" s="15">
        <v>41493</v>
      </c>
      <c r="AJ511" s="2">
        <v>63.45</v>
      </c>
      <c r="AK511" s="2">
        <v>30.14</v>
      </c>
      <c r="AL511" s="2">
        <v>178.98</v>
      </c>
      <c r="AM511" s="2">
        <v>77.784342421879998</v>
      </c>
      <c r="AN511" s="2">
        <v>43.128844508150621</v>
      </c>
    </row>
    <row r="512" spans="2:40" x14ac:dyDescent="0.35">
      <c r="B512" s="15">
        <v>41492</v>
      </c>
      <c r="C512" s="49" t="str">
        <f>$S$4</f>
        <v>AAPL</v>
      </c>
      <c r="D512" s="53">
        <f>CHOOSE($S$3,AJ512,AK512,AL512,AM512,AN512)</f>
        <v>63.49</v>
      </c>
      <c r="E512" s="55">
        <f t="shared" si="43"/>
        <v>-8.9377309986535935E-3</v>
      </c>
      <c r="F512" s="55">
        <f t="shared" si="46"/>
        <v>-8.9377309986535935E-3</v>
      </c>
      <c r="G512" s="70">
        <f t="shared" si="47"/>
        <v>-1.025272084153667E-2</v>
      </c>
      <c r="H512" s="53"/>
      <c r="I512" s="15">
        <v>41492</v>
      </c>
      <c r="J512" s="55">
        <v>-6.8000000000000005E-3</v>
      </c>
      <c r="K512" s="55">
        <v>-3.3E-3</v>
      </c>
      <c r="L512" s="55">
        <v>-1E-3</v>
      </c>
      <c r="M512" s="55">
        <v>0</v>
      </c>
      <c r="N512" s="70">
        <f t="shared" si="51"/>
        <v>-7.3091451292246531E-3</v>
      </c>
      <c r="O512" s="70">
        <f t="shared" si="49"/>
        <v>-3.2083499005964218E-3</v>
      </c>
      <c r="P512" s="70">
        <f t="shared" si="50"/>
        <v>-7.0159045725646119E-4</v>
      </c>
      <c r="AI512" s="15">
        <v>41492</v>
      </c>
      <c r="AJ512" s="2">
        <v>63.49</v>
      </c>
      <c r="AK512" s="2">
        <v>29.69</v>
      </c>
      <c r="AL512" s="2">
        <v>180.38</v>
      </c>
      <c r="AM512" s="2">
        <v>78.113079303329229</v>
      </c>
      <c r="AN512" s="2">
        <v>42.975559804856928</v>
      </c>
    </row>
    <row r="513" spans="2:40" x14ac:dyDescent="0.35">
      <c r="B513" s="15">
        <v>41491</v>
      </c>
      <c r="C513" s="49" t="str">
        <f>$S$4</f>
        <v>AAPL</v>
      </c>
      <c r="D513" s="53">
        <f>CHOOSE($S$3,AJ513,AK513,AL513,AM513,AN513)</f>
        <v>64.06</v>
      </c>
      <c r="E513" s="55">
        <f t="shared" si="43"/>
        <v>1.4782467643393289E-2</v>
      </c>
      <c r="F513" s="55">
        <f t="shared" si="46"/>
        <v>1.4782467643393289E-2</v>
      </c>
      <c r="G513" s="70">
        <f t="shared" si="47"/>
        <v>1.3467477800510212E-2</v>
      </c>
      <c r="H513" s="53"/>
      <c r="I513" s="15">
        <v>41491</v>
      </c>
      <c r="J513" s="55">
        <v>-7.000000000000001E-4</v>
      </c>
      <c r="K513" s="55">
        <v>5.1000000000000004E-3</v>
      </c>
      <c r="L513" s="55">
        <v>-1.7000000000000001E-3</v>
      </c>
      <c r="M513" s="55">
        <v>0</v>
      </c>
      <c r="N513" s="70">
        <f t="shared" si="51"/>
        <v>-1.2091451292246527E-3</v>
      </c>
      <c r="O513" s="70">
        <f t="shared" si="49"/>
        <v>5.191650099403579E-3</v>
      </c>
      <c r="P513" s="70">
        <f t="shared" si="50"/>
        <v>-1.4015904572564613E-3</v>
      </c>
      <c r="AI513" s="15">
        <v>41491</v>
      </c>
      <c r="AJ513" s="2">
        <v>64.06</v>
      </c>
      <c r="AK513" s="2">
        <v>29.8</v>
      </c>
      <c r="AL513" s="2">
        <v>184.64</v>
      </c>
      <c r="AM513" s="2">
        <v>79.386111619447846</v>
      </c>
      <c r="AN513" s="2">
        <v>43.562643772881167</v>
      </c>
    </row>
    <row r="514" spans="2:40" x14ac:dyDescent="0.35">
      <c r="B514" s="15">
        <v>41488</v>
      </c>
      <c r="C514" s="49" t="str">
        <f>$S$4</f>
        <v>AAPL</v>
      </c>
      <c r="D514" s="53">
        <f>CHOOSE($S$3,AJ514,AK514,AL514,AM514,AN514)</f>
        <v>63.12</v>
      </c>
      <c r="E514" s="55">
        <f t="shared" si="43"/>
        <v>1.2755274975125862E-2</v>
      </c>
      <c r="F514" s="55">
        <f t="shared" si="46"/>
        <v>1.2755274975125862E-2</v>
      </c>
      <c r="G514" s="70">
        <f t="shared" si="47"/>
        <v>1.1440285132242786E-2</v>
      </c>
      <c r="H514" s="53"/>
      <c r="I514" s="15">
        <v>41488</v>
      </c>
      <c r="J514" s="55">
        <v>2E-3</v>
      </c>
      <c r="K514" s="55">
        <v>-2.0999999999999999E-3</v>
      </c>
      <c r="L514" s="55">
        <v>-3.3E-3</v>
      </c>
      <c r="M514" s="55">
        <v>0</v>
      </c>
      <c r="N514" s="70">
        <f t="shared" si="51"/>
        <v>1.4908548707753475E-3</v>
      </c>
      <c r="O514" s="70">
        <f t="shared" si="49"/>
        <v>-2.0083499005964216E-3</v>
      </c>
      <c r="P514" s="70">
        <f t="shared" si="50"/>
        <v>-3.0015904572564612E-3</v>
      </c>
      <c r="AI514" s="15">
        <v>41488</v>
      </c>
      <c r="AJ514" s="2">
        <v>63.12</v>
      </c>
      <c r="AK514" s="2">
        <v>29.98</v>
      </c>
      <c r="AL514" s="2">
        <v>184.32</v>
      </c>
      <c r="AM514" s="2">
        <v>78.734873780646126</v>
      </c>
      <c r="AN514" s="2">
        <v>43.656459546374577</v>
      </c>
    </row>
    <row r="515" spans="2:40" x14ac:dyDescent="0.35">
      <c r="B515" s="15">
        <v>41487</v>
      </c>
      <c r="C515" s="49" t="str">
        <f>$S$4</f>
        <v>AAPL</v>
      </c>
      <c r="D515" s="53">
        <f>CHOOSE($S$3,AJ515,AK515,AL515,AM515,AN515)</f>
        <v>62.32</v>
      </c>
      <c r="E515" s="55"/>
      <c r="F515" s="55"/>
      <c r="G515" s="55"/>
      <c r="H515" s="53"/>
      <c r="I515" s="15">
        <v>41487</v>
      </c>
      <c r="AI515" s="15">
        <v>41487</v>
      </c>
      <c r="AJ515" s="2">
        <v>62.32</v>
      </c>
      <c r="AK515" s="2">
        <v>29.77</v>
      </c>
      <c r="AL515" s="2">
        <v>184.94</v>
      </c>
      <c r="AM515" s="2">
        <v>78.368341056806656</v>
      </c>
      <c r="AN515" s="2">
        <v>43.576983954909551</v>
      </c>
    </row>
    <row r="516" spans="2:40" x14ac:dyDescent="0.35">
      <c r="E516" s="53"/>
      <c r="F516" s="53"/>
      <c r="G516" s="53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0"/>
  <sheetViews>
    <sheetView tabSelected="1" workbookViewId="0">
      <selection activeCell="B1" sqref="B1"/>
    </sheetView>
  </sheetViews>
  <sheetFormatPr defaultColWidth="9.1796875" defaultRowHeight="14.5" x14ac:dyDescent="0.35"/>
  <cols>
    <col min="1" max="1" width="9.1796875" style="19"/>
    <col min="2" max="2" width="18.54296875" style="19" customWidth="1"/>
    <col min="3" max="7" width="12.81640625" style="19" customWidth="1"/>
    <col min="8" max="10" width="9.1796875" style="19"/>
    <col min="11" max="15" width="10.54296875" style="19" customWidth="1"/>
    <col min="16" max="16384" width="9.1796875" style="19"/>
  </cols>
  <sheetData>
    <row r="1" spans="2:15" ht="21" x14ac:dyDescent="0.5">
      <c r="B1" s="63" t="s">
        <v>57</v>
      </c>
    </row>
    <row r="3" spans="2:15" x14ac:dyDescent="0.35">
      <c r="C3" s="20" t="s">
        <v>6</v>
      </c>
      <c r="D3" s="20" t="s">
        <v>7</v>
      </c>
      <c r="E3" s="20" t="s">
        <v>8</v>
      </c>
      <c r="F3" s="20" t="s">
        <v>29</v>
      </c>
      <c r="G3" s="20" t="s">
        <v>30</v>
      </c>
      <c r="J3" s="3" t="s">
        <v>28</v>
      </c>
      <c r="K3" s="4"/>
      <c r="L3" s="4"/>
      <c r="M3" s="4"/>
      <c r="N3" s="4"/>
      <c r="O3" s="4"/>
    </row>
    <row r="4" spans="2:15" x14ac:dyDescent="0.35">
      <c r="B4" s="21" t="s">
        <v>18</v>
      </c>
      <c r="C4" s="22">
        <f>L5</f>
        <v>0.79194963210388081</v>
      </c>
      <c r="D4" s="23">
        <f>L6</f>
        <v>1.0866552340988969</v>
      </c>
      <c r="E4" s="23">
        <f>L7</f>
        <v>0.85151838468867269</v>
      </c>
      <c r="F4" s="23">
        <f>L8</f>
        <v>0.82084700499090668</v>
      </c>
      <c r="G4" s="24">
        <f>L9</f>
        <v>0.96879501963776526</v>
      </c>
      <c r="J4" s="1" t="s">
        <v>14</v>
      </c>
      <c r="K4" s="56" t="s">
        <v>10</v>
      </c>
      <c r="L4" s="56" t="s">
        <v>11</v>
      </c>
      <c r="M4" s="56" t="s">
        <v>12</v>
      </c>
      <c r="N4" s="56" t="s">
        <v>13</v>
      </c>
      <c r="O4" s="56" t="s">
        <v>31</v>
      </c>
    </row>
    <row r="5" spans="2:15" x14ac:dyDescent="0.35">
      <c r="B5" s="75" t="s">
        <v>56</v>
      </c>
      <c r="C5" s="25">
        <f>M5</f>
        <v>-0.26488065693368934</v>
      </c>
      <c r="D5" s="26">
        <f>M6</f>
        <v>-0.49151104252674765</v>
      </c>
      <c r="E5" s="26">
        <f>M7</f>
        <v>-0.25420455212991727</v>
      </c>
      <c r="F5" s="26">
        <f>M8</f>
        <v>-0.25854893960200948</v>
      </c>
      <c r="G5" s="27">
        <f>M9</f>
        <v>-0.37229664008860353</v>
      </c>
      <c r="J5" s="2" t="s">
        <v>6</v>
      </c>
      <c r="K5" s="80">
        <v>1.3320631596794687E-18</v>
      </c>
      <c r="L5" s="2">
        <v>0.79194963210388081</v>
      </c>
      <c r="M5" s="2">
        <v>-0.26488065693368934</v>
      </c>
      <c r="N5" s="2">
        <v>-0.76745917842725586</v>
      </c>
      <c r="O5" s="2">
        <v>1.6171118421295458E-4</v>
      </c>
    </row>
    <row r="6" spans="2:15" x14ac:dyDescent="0.35">
      <c r="C6" s="28">
        <f>N5</f>
        <v>-0.76745917842725586</v>
      </c>
      <c r="D6" s="29">
        <f>N6</f>
        <v>-0.26473599116616864</v>
      </c>
      <c r="E6" s="29">
        <f>N7</f>
        <v>-8.9167750516926547E-2</v>
      </c>
      <c r="F6" s="29">
        <f>N8</f>
        <v>-0.42757092308805944</v>
      </c>
      <c r="G6" s="30">
        <f>N9</f>
        <v>-0.17708050969006561</v>
      </c>
      <c r="J6" s="2" t="s">
        <v>7</v>
      </c>
      <c r="K6" s="80">
        <v>7.5917128730416257E-20</v>
      </c>
      <c r="L6" s="2">
        <v>1.0866552340988969</v>
      </c>
      <c r="M6" s="2">
        <v>-0.49151104252674765</v>
      </c>
      <c r="N6" s="2">
        <v>-0.26473599116616864</v>
      </c>
      <c r="O6" s="2">
        <v>1.4519794436994117E-4</v>
      </c>
    </row>
    <row r="7" spans="2:15" x14ac:dyDescent="0.35">
      <c r="B7" s="31" t="s">
        <v>19</v>
      </c>
      <c r="C7" s="26"/>
      <c r="D7" s="26"/>
      <c r="E7" s="26"/>
      <c r="J7" s="2" t="s">
        <v>8</v>
      </c>
      <c r="K7" s="80">
        <v>5.5165711418440928E-19</v>
      </c>
      <c r="L7" s="2">
        <v>0.85151838468867269</v>
      </c>
      <c r="M7" s="2">
        <v>-0.25420455212991727</v>
      </c>
      <c r="N7" s="2">
        <v>-8.9167750516926547E-2</v>
      </c>
      <c r="O7" s="2">
        <v>9.4615101380801108E-5</v>
      </c>
    </row>
    <row r="8" spans="2:15" x14ac:dyDescent="0.35">
      <c r="C8" s="26"/>
      <c r="D8" s="26"/>
      <c r="E8" s="26"/>
      <c r="J8" s="18" t="s">
        <v>29</v>
      </c>
      <c r="K8" s="80">
        <v>8.1384418814029337E-19</v>
      </c>
      <c r="L8" s="2">
        <v>0.82084700499090668</v>
      </c>
      <c r="M8" s="2">
        <v>-0.25854893960200948</v>
      </c>
      <c r="N8" s="2">
        <v>-0.42757092308805944</v>
      </c>
      <c r="O8" s="2">
        <v>6.4140435486208786E-5</v>
      </c>
    </row>
    <row r="9" spans="2:15" ht="15" thickBot="1" x14ac:dyDescent="0.4">
      <c r="J9" s="18" t="s">
        <v>30</v>
      </c>
      <c r="K9" s="80">
        <v>8.8065542152300283E-19</v>
      </c>
      <c r="L9" s="2">
        <v>0.96879501963776526</v>
      </c>
      <c r="M9" s="2">
        <v>-0.37229664008860353</v>
      </c>
      <c r="N9" s="2">
        <v>-0.17708050969006561</v>
      </c>
      <c r="O9" s="2">
        <v>6.5458836447929931E-5</v>
      </c>
    </row>
    <row r="10" spans="2:15" ht="16.5" x14ac:dyDescent="0.35">
      <c r="B10" s="21" t="s">
        <v>32</v>
      </c>
      <c r="C10" s="32">
        <f t="array" ref="C10:E14">TRANSPOSE(C4:G6)</f>
        <v>0.79194963210388081</v>
      </c>
      <c r="D10" s="33">
        <v>-0.26488065693368934</v>
      </c>
      <c r="E10" s="34">
        <v>-0.76745917842725586</v>
      </c>
    </row>
    <row r="11" spans="2:15" x14ac:dyDescent="0.35">
      <c r="B11" s="75" t="s">
        <v>58</v>
      </c>
      <c r="C11" s="35">
        <v>1.0866552340988969</v>
      </c>
      <c r="D11" s="26">
        <v>-0.49151104252674765</v>
      </c>
      <c r="E11" s="36">
        <v>-0.26473599116616864</v>
      </c>
    </row>
    <row r="12" spans="2:15" x14ac:dyDescent="0.35">
      <c r="C12" s="35">
        <v>0.85151838468867269</v>
      </c>
      <c r="D12" s="26">
        <v>-0.25420455212991727</v>
      </c>
      <c r="E12" s="36">
        <v>-8.9167750516926547E-2</v>
      </c>
    </row>
    <row r="13" spans="2:15" x14ac:dyDescent="0.35">
      <c r="C13" s="35">
        <v>0.82084700499090668</v>
      </c>
      <c r="D13" s="26">
        <v>-0.25854893960200948</v>
      </c>
      <c r="E13" s="36">
        <v>-0.42757092308805944</v>
      </c>
    </row>
    <row r="14" spans="2:15" ht="15" thickBot="1" x14ac:dyDescent="0.4">
      <c r="C14" s="37">
        <v>0.96879501963776526</v>
      </c>
      <c r="D14" s="38">
        <v>-0.37229664008860353</v>
      </c>
      <c r="E14" s="39">
        <v>-0.17708050969006561</v>
      </c>
    </row>
    <row r="15" spans="2:15" ht="15" thickBot="1" x14ac:dyDescent="0.4"/>
    <row r="16" spans="2:15" x14ac:dyDescent="0.35">
      <c r="B16" s="21" t="s">
        <v>33</v>
      </c>
      <c r="C16" s="32">
        <f>'Risk Model Regression'!Y22</f>
        <v>5.3832864407182377E-5</v>
      </c>
      <c r="D16" s="33">
        <f>'Risk Model Regression'!Z22</f>
        <v>9.0213749313265578E-6</v>
      </c>
      <c r="E16" s="34">
        <f>'Risk Model Regression'!AA22</f>
        <v>-5.0468932725713306E-6</v>
      </c>
    </row>
    <row r="17" spans="1:7" x14ac:dyDescent="0.35">
      <c r="B17" s="75" t="s">
        <v>59</v>
      </c>
      <c r="C17" s="35">
        <f>'Risk Model Regression'!Y23</f>
        <v>9.0213749313265578E-6</v>
      </c>
      <c r="D17" s="26">
        <f>'Risk Model Regression'!Z23</f>
        <v>2.4950766793660329E-5</v>
      </c>
      <c r="E17" s="36">
        <f>'Risk Model Regression'!AA23</f>
        <v>-7.0569715306570073E-6</v>
      </c>
    </row>
    <row r="18" spans="1:7" ht="15" thickBot="1" x14ac:dyDescent="0.4">
      <c r="C18" s="37">
        <f>'Risk Model Regression'!Y24</f>
        <v>-5.0468932725713306E-6</v>
      </c>
      <c r="D18" s="38">
        <f>'Risk Model Regression'!Z24</f>
        <v>-7.0569715306570073E-6</v>
      </c>
      <c r="E18" s="39">
        <f>'Risk Model Regression'!AA24</f>
        <v>1.4001073162617927E-5</v>
      </c>
    </row>
    <row r="20" spans="1:7" ht="15" thickBot="1" x14ac:dyDescent="0.4"/>
    <row r="21" spans="1:7" ht="16.5" x14ac:dyDescent="0.35">
      <c r="B21" s="75" t="s">
        <v>64</v>
      </c>
      <c r="C21" s="32">
        <f t="array" ref="C21:G25">MMULT(C10:E14,MMULT(C16:E18,C4:G6))</f>
        <v>4.3241127326447808E-5</v>
      </c>
      <c r="D21" s="33">
        <v>4.8422267907589605E-5</v>
      </c>
      <c r="E21" s="33">
        <v>3.7201071556597749E-5</v>
      </c>
      <c r="F21" s="33">
        <v>4.0178322940819201E-5</v>
      </c>
      <c r="G21" s="34">
        <v>4.2803792600541647E-5</v>
      </c>
    </row>
    <row r="22" spans="1:7" x14ac:dyDescent="0.35">
      <c r="B22" s="75" t="s">
        <v>60</v>
      </c>
      <c r="C22" s="35">
        <v>4.8422267907589605E-5</v>
      </c>
      <c r="D22" s="26">
        <v>6.2006396659437896E-5</v>
      </c>
      <c r="E22" s="26">
        <v>4.783469210071384E-5</v>
      </c>
      <c r="F22" s="26">
        <v>4.8074502766626604E-5</v>
      </c>
      <c r="G22" s="36">
        <v>5.4904783074450445E-5</v>
      </c>
    </row>
    <row r="23" spans="1:7" x14ac:dyDescent="0.35">
      <c r="B23" s="75" t="s">
        <v>61</v>
      </c>
      <c r="C23" s="35">
        <v>3.7201071556597749E-5</v>
      </c>
      <c r="D23" s="26">
        <v>4.7834692100713846E-5</v>
      </c>
      <c r="E23" s="26">
        <v>3.7297914598444985E-5</v>
      </c>
      <c r="F23" s="26">
        <v>3.7209638101326473E-5</v>
      </c>
      <c r="G23" s="36">
        <v>4.2555052955408662E-5</v>
      </c>
    </row>
    <row r="24" spans="1:7" x14ac:dyDescent="0.35">
      <c r="C24" s="35">
        <v>4.0178322940819208E-5</v>
      </c>
      <c r="D24" s="26">
        <v>4.8074502766626611E-5</v>
      </c>
      <c r="E24" s="26">
        <v>3.7209638101326473E-5</v>
      </c>
      <c r="F24" s="26">
        <v>3.8652719824106044E-5</v>
      </c>
      <c r="G24" s="36">
        <v>4.2632524552396814E-5</v>
      </c>
    </row>
    <row r="25" spans="1:7" ht="15" thickBot="1" x14ac:dyDescent="0.4">
      <c r="C25" s="37">
        <v>4.2803792600541647E-5</v>
      </c>
      <c r="D25" s="38">
        <v>5.4904783074450439E-5</v>
      </c>
      <c r="E25" s="38">
        <v>4.2555052955408648E-5</v>
      </c>
      <c r="F25" s="38">
        <v>4.2632524552396807E-5</v>
      </c>
      <c r="G25" s="39">
        <v>4.8716422522695209E-5</v>
      </c>
    </row>
    <row r="27" spans="1:7" ht="15" thickBot="1" x14ac:dyDescent="0.4"/>
    <row r="28" spans="1:7" x14ac:dyDescent="0.35">
      <c r="A28" s="74"/>
      <c r="B28" s="42" t="s">
        <v>34</v>
      </c>
      <c r="C28" s="32">
        <f>O5</f>
        <v>1.6171118421295458E-4</v>
      </c>
      <c r="D28" s="33">
        <v>0</v>
      </c>
      <c r="E28" s="33">
        <v>0</v>
      </c>
      <c r="F28" s="33">
        <v>0</v>
      </c>
      <c r="G28" s="34">
        <v>0</v>
      </c>
    </row>
    <row r="29" spans="1:7" x14ac:dyDescent="0.35">
      <c r="B29" s="75" t="s">
        <v>61</v>
      </c>
      <c r="C29" s="35">
        <v>0</v>
      </c>
      <c r="D29" s="26">
        <f>O6</f>
        <v>1.4519794436994117E-4</v>
      </c>
      <c r="E29" s="26">
        <v>0</v>
      </c>
      <c r="F29" s="26">
        <v>0</v>
      </c>
      <c r="G29" s="36">
        <v>0</v>
      </c>
    </row>
    <row r="30" spans="1:7" x14ac:dyDescent="0.35">
      <c r="B30" s="26"/>
      <c r="C30" s="35">
        <v>0</v>
      </c>
      <c r="D30" s="26">
        <v>0</v>
      </c>
      <c r="E30" s="26">
        <f>O7</f>
        <v>9.4615101380801108E-5</v>
      </c>
      <c r="F30" s="26">
        <v>0</v>
      </c>
      <c r="G30" s="36">
        <v>0</v>
      </c>
    </row>
    <row r="31" spans="1:7" x14ac:dyDescent="0.35">
      <c r="B31" s="26"/>
      <c r="C31" s="35">
        <v>0</v>
      </c>
      <c r="D31" s="26">
        <v>0</v>
      </c>
      <c r="E31" s="26">
        <v>0</v>
      </c>
      <c r="F31" s="26">
        <f>O8</f>
        <v>6.4140435486208786E-5</v>
      </c>
      <c r="G31" s="36">
        <v>0</v>
      </c>
    </row>
    <row r="32" spans="1:7" ht="15" thickBot="1" x14ac:dyDescent="0.4">
      <c r="C32" s="37">
        <v>0</v>
      </c>
      <c r="D32" s="43">
        <v>0</v>
      </c>
      <c r="E32" s="38">
        <v>0</v>
      </c>
      <c r="F32" s="43">
        <v>0</v>
      </c>
      <c r="G32" s="39">
        <f>O9</f>
        <v>6.5458836447929931E-5</v>
      </c>
    </row>
    <row r="35" spans="2:7" x14ac:dyDescent="0.35">
      <c r="B35" s="5" t="s">
        <v>54</v>
      </c>
      <c r="C35" s="83">
        <f>C21+C28</f>
        <v>2.049523115394024E-4</v>
      </c>
      <c r="D35" s="84">
        <f t="shared" ref="D35:G35" si="0">D21+D28</f>
        <v>4.8422267907589605E-5</v>
      </c>
      <c r="E35" s="84">
        <f t="shared" si="0"/>
        <v>3.7201071556597749E-5</v>
      </c>
      <c r="F35" s="84">
        <f t="shared" si="0"/>
        <v>4.0178322940819201E-5</v>
      </c>
      <c r="G35" s="85">
        <f t="shared" si="0"/>
        <v>4.2803792600541647E-5</v>
      </c>
    </row>
    <row r="36" spans="2:7" x14ac:dyDescent="0.35">
      <c r="B36" s="75" t="s">
        <v>49</v>
      </c>
      <c r="C36" s="86">
        <f t="shared" ref="C36:G36" si="1">C22+C29</f>
        <v>4.8422267907589605E-5</v>
      </c>
      <c r="D36" s="82">
        <f t="shared" si="1"/>
        <v>2.0720434102937906E-4</v>
      </c>
      <c r="E36" s="82">
        <f t="shared" si="1"/>
        <v>4.783469210071384E-5</v>
      </c>
      <c r="F36" s="82">
        <f t="shared" si="1"/>
        <v>4.8074502766626604E-5</v>
      </c>
      <c r="G36" s="87">
        <f t="shared" si="1"/>
        <v>5.4904783074450445E-5</v>
      </c>
    </row>
    <row r="37" spans="2:7" x14ac:dyDescent="0.35">
      <c r="C37" s="86">
        <f t="shared" ref="C37:G37" si="2">C23+C30</f>
        <v>3.7201071556597749E-5</v>
      </c>
      <c r="D37" s="82">
        <f t="shared" si="2"/>
        <v>4.7834692100713846E-5</v>
      </c>
      <c r="E37" s="82">
        <f t="shared" si="2"/>
        <v>1.3191301597924608E-4</v>
      </c>
      <c r="F37" s="82">
        <f t="shared" si="2"/>
        <v>3.7209638101326473E-5</v>
      </c>
      <c r="G37" s="87">
        <f t="shared" si="2"/>
        <v>4.2555052955408662E-5</v>
      </c>
    </row>
    <row r="38" spans="2:7" x14ac:dyDescent="0.35">
      <c r="C38" s="86">
        <f t="shared" ref="C38:G38" si="3">C24+C31</f>
        <v>4.0178322940819208E-5</v>
      </c>
      <c r="D38" s="82">
        <f t="shared" si="3"/>
        <v>4.8074502766626611E-5</v>
      </c>
      <c r="E38" s="82">
        <f t="shared" si="3"/>
        <v>3.7209638101326473E-5</v>
      </c>
      <c r="F38" s="82">
        <f t="shared" si="3"/>
        <v>1.0279315531031482E-4</v>
      </c>
      <c r="G38" s="87">
        <f t="shared" si="3"/>
        <v>4.2632524552396814E-5</v>
      </c>
    </row>
    <row r="39" spans="2:7" x14ac:dyDescent="0.35">
      <c r="C39" s="88">
        <f t="shared" ref="C39:G39" si="4">C25+C32</f>
        <v>4.2803792600541647E-5</v>
      </c>
      <c r="D39" s="89">
        <f t="shared" si="4"/>
        <v>5.4904783074450439E-5</v>
      </c>
      <c r="E39" s="89">
        <f t="shared" si="4"/>
        <v>4.2555052955408648E-5</v>
      </c>
      <c r="F39" s="89">
        <f t="shared" si="4"/>
        <v>4.2632524552396807E-5</v>
      </c>
      <c r="G39" s="90">
        <f t="shared" si="4"/>
        <v>1.1417525897062513E-4</v>
      </c>
    </row>
    <row r="42" spans="2:7" x14ac:dyDescent="0.35">
      <c r="B42" s="31" t="s">
        <v>35</v>
      </c>
    </row>
    <row r="43" spans="2:7" ht="15" thickBot="1" x14ac:dyDescent="0.4"/>
    <row r="44" spans="2:7" ht="15" thickBot="1" x14ac:dyDescent="0.4">
      <c r="B44" s="40" t="s">
        <v>27</v>
      </c>
      <c r="C44" s="41">
        <v>252</v>
      </c>
    </row>
    <row r="45" spans="2:7" ht="15" thickBot="1" x14ac:dyDescent="0.4"/>
    <row r="46" spans="2:7" x14ac:dyDescent="0.35">
      <c r="B46" s="5" t="s">
        <v>55</v>
      </c>
      <c r="C46" s="91">
        <f t="shared" ref="C46:G50" si="5">C35*$C$44</f>
        <v>5.1647982507929402E-2</v>
      </c>
      <c r="D46" s="92">
        <f t="shared" si="5"/>
        <v>1.2202411512712581E-2</v>
      </c>
      <c r="E46" s="92">
        <f t="shared" si="5"/>
        <v>9.3746700322626334E-3</v>
      </c>
      <c r="F46" s="92">
        <f t="shared" si="5"/>
        <v>1.0124937381086439E-2</v>
      </c>
      <c r="G46" s="93">
        <f t="shared" si="5"/>
        <v>1.0786555735336495E-2</v>
      </c>
    </row>
    <row r="47" spans="2:7" x14ac:dyDescent="0.35">
      <c r="B47" s="75" t="s">
        <v>49</v>
      </c>
      <c r="C47" s="94">
        <f t="shared" si="5"/>
        <v>1.2202411512712581E-2</v>
      </c>
      <c r="D47" s="81">
        <f t="shared" si="5"/>
        <v>5.2215493939403522E-2</v>
      </c>
      <c r="E47" s="81">
        <f t="shared" si="5"/>
        <v>1.2054342409379887E-2</v>
      </c>
      <c r="F47" s="81">
        <f t="shared" si="5"/>
        <v>1.2114774697189905E-2</v>
      </c>
      <c r="G47" s="95">
        <f t="shared" si="5"/>
        <v>1.3836005334761512E-2</v>
      </c>
    </row>
    <row r="48" spans="2:7" x14ac:dyDescent="0.35">
      <c r="C48" s="94">
        <f t="shared" si="5"/>
        <v>9.3746700322626334E-3</v>
      </c>
      <c r="D48" s="81">
        <f t="shared" si="5"/>
        <v>1.2054342409379889E-2</v>
      </c>
      <c r="E48" s="81">
        <f t="shared" si="5"/>
        <v>3.324208002677001E-2</v>
      </c>
      <c r="F48" s="81">
        <f t="shared" si="5"/>
        <v>9.3768288015342715E-3</v>
      </c>
      <c r="G48" s="95">
        <f t="shared" si="5"/>
        <v>1.0723873344762982E-2</v>
      </c>
    </row>
    <row r="49" spans="3:7" x14ac:dyDescent="0.35">
      <c r="C49" s="94">
        <f t="shared" si="5"/>
        <v>1.0124937381086441E-2</v>
      </c>
      <c r="D49" s="81">
        <f t="shared" si="5"/>
        <v>1.2114774697189907E-2</v>
      </c>
      <c r="E49" s="81">
        <f t="shared" si="5"/>
        <v>9.3768288015342715E-3</v>
      </c>
      <c r="F49" s="81">
        <f t="shared" si="5"/>
        <v>2.5903875138199337E-2</v>
      </c>
      <c r="G49" s="95">
        <f t="shared" si="5"/>
        <v>1.0743396187203998E-2</v>
      </c>
    </row>
    <row r="50" spans="3:7" ht="15" thickBot="1" x14ac:dyDescent="0.4">
      <c r="C50" s="96">
        <f t="shared" si="5"/>
        <v>1.0786555735336495E-2</v>
      </c>
      <c r="D50" s="97">
        <f t="shared" si="5"/>
        <v>1.383600533476151E-2</v>
      </c>
      <c r="E50" s="97">
        <f t="shared" si="5"/>
        <v>1.0723873344762979E-2</v>
      </c>
      <c r="F50" s="97">
        <f t="shared" si="5"/>
        <v>1.0743396187203996E-2</v>
      </c>
      <c r="G50" s="98">
        <f t="shared" si="5"/>
        <v>2.8772165260597532E-2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Risk Model Regression</vt:lpstr>
      <vt:lpstr>Risk Model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Kissell</dc:creator>
  <cp:lastModifiedBy>Rob</cp:lastModifiedBy>
  <dcterms:created xsi:type="dcterms:W3CDTF">2015-08-19T19:03:20Z</dcterms:created>
  <dcterms:modified xsi:type="dcterms:W3CDTF">2017-11-04T01:51:37Z</dcterms:modified>
</cp:coreProperties>
</file>